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10a969fb1a48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_Table" sheetId="1" r:id="R740c36809abc4f46"/>
    <x:sheet xmlns:r="http://schemas.openxmlformats.org/officeDocument/2006/relationships" name="Calculation_Data" sheetId="2" r:id="Rc4694fb8561048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40113a4e3545e9" /><Relationship Type="http://schemas.openxmlformats.org/officeDocument/2006/relationships/theme" Target="/xl/theme/theme1.xml" Id="R445e7cc86ae14e75" /><Relationship Type="http://schemas.openxmlformats.org/officeDocument/2006/relationships/sharedStrings" Target="/xl/sharedStrings.xml" Id="R3cb21dbd65984eb2" /><Relationship Type="http://schemas.openxmlformats.org/officeDocument/2006/relationships/worksheet" Target="/xl/worksheets/sheet1.xml" Id="R740c36809abc4f46" /><Relationship Type="http://schemas.openxmlformats.org/officeDocument/2006/relationships/worksheet" Target="/xl/worksheets/sheet2.xml" Id="Rc4694fb8561048d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>
      <x:c r="A1" s="4" t="str">
        <x:v>Category</x:v>
      </x:c>
      <x:c r="B1" s="4" t="str">
        <x:v>Item</x:v>
      </x:c>
      <x:c r="C1" s="2" t="str">
        <x:v>N_F</x:v>
      </x:c>
      <x:c r="D1" s="2" t="str">
        <x:v>Mean_F</x:v>
      </x:c>
      <x:c r="E1" s="2" t="str">
        <x:v>T2B_F n/N (%)</x:v>
      </x:c>
      <x:c r="F1" s="2" t="str">
        <x:v>Experienced n/N (%)</x:v>
      </x:c>
      <x:c r="G1" s="2" t="str">
        <x:v>N_I</x:v>
      </x:c>
      <x:c r="H1" s="2" t="str">
        <x:v>Mean_I</x:v>
      </x:c>
      <x:c r="I1" s="2" t="str">
        <x:v>T2B_I n/N (%)</x:v>
      </x:c>
      <x:c r="J1" s="2" t="str">
        <x:v>Within-category F rank</x:v>
      </x:c>
      <x:c r="K1" s="2" t="str">
        <x:v>Within-category I rank</x:v>
      </x:c>
    </x:row>
    <x:row r="2">
      <x:c r="A2" s="5" t="str">
        <x:v>Writing &amp; Spelling Difficulties</x:v>
      </x:c>
      <x:c r="B2" s="5" t="str">
        <x:v>Explaining ideas clearly when writing comments, documentation, or messages can be difficult.</x:v>
      </x:c>
      <x:c r="C2" t="n">
        <x:f>COUNTIFS(Calculation_Data!$A$2:$A$893,A2,Calculation_Data!$B$2:$B$893,B2,Calculation_Data!$C$2:$C$893,"&gt;=0")</x:f>
        <x:v>12</x:v>
      </x:c>
      <x:c r="D2" s="8" t="n">
        <x:f>IF(C2=0,"",SUMIFS(Calculation_Data!$C$2:$C$893,Calculation_Data!$A$2:$A$893,A2,Calculation_Data!$B$2:$B$893,B2)/C2)</x:f>
        <x:v>2.3333333333333335</x:v>
      </x:c>
      <x:c r="E2" t="str">
        <x:f>IF(C2=0,"",COUNTIFS(Calculation_Data!$A$2:$A$893,A2,Calculation_Data!$B$2:$B$893,B2,Calculation_Data!$C$2:$C$893,"&gt;=3")&amp;"/"&amp;C2&amp;" ("&amp;TEXT(COUNTIFS(Calculation_Data!$A$2:$A$893,A2,Calculation_Data!$B$2:$B$893,B2,Calculation_Data!$C$2:$C$893,"&gt;=3")/C2,"0.0%")&amp;")")</x:f>
        <x:v>6/12 (50.0%)</x:v>
      </x:c>
      <x:c r="F2" t="str">
        <x:f>IF(C2=0,"",COUNTIFS(Calculation_Data!$A$2:$A$893,A2,Calculation_Data!$B$2:$B$893,B2,Calculation_Data!$C$2:$C$893,"&gt;0")&amp;"/"&amp;C2&amp;" ("&amp;TEXT(COUNTIFS(Calculation_Data!$A$2:$A$893,A2,Calculation_Data!$B$2:$B$893,B2,Calculation_Data!$C$2:$C$893,"&gt;0")/C2,"0.0%")&amp;")")</x:f>
        <x:v>9/12 (75.0%)</x:v>
      </x:c>
      <x:c r="G2" t="n">
        <x:f>COUNTIFS(Calculation_Data!$A$2:$A$893,A2,Calculation_Data!$B$2:$B$893,B2,Calculation_Data!$C$2:$C$893,"&gt;0",Calculation_Data!$D$2:$D$893,"&gt;=0")</x:f>
        <x:v>9</x:v>
      </x:c>
      <x:c r="H2" s="8" t="n">
        <x:f>IF(G2=0,"",SUMIFS(Calculation_Data!$D$2:$D$893,Calculation_Data!$A$2:$A$893,A2,Calculation_Data!$B$2:$B$893,B2,Calculation_Data!$C$2:$C$893,"&gt;0")/G2)</x:f>
        <x:v>2.5555555555555554</x:v>
      </x:c>
      <x:c r="I2" t="str">
        <x:f>IF(G2=0,"",COUNTIFS(Calculation_Data!$A$2:$A$893,A2,Calculation_Data!$B$2:$B$893,B2,Calculation_Data!$C$2:$C$893,"&gt;0",Calculation_Data!$D$2:$D$893,"&gt;=3")&amp;"/"&amp;G2&amp;" ("&amp;TEXT(COUNTIFS(Calculation_Data!$A$2:$A$893,A2,Calculation_Data!$B$2:$B$893,B2,Calculation_Data!$C$2:$C$893,"&gt;0",Calculation_Data!$D$2:$D$893,"&gt;=3")/G2,"0.0%")&amp;")")</x:f>
        <x:v>5/9 (55.6%)</x:v>
      </x:c>
      <x:c r="J2" t="n">
        <x:f>IF(D2="","",1+COUNTIFS($A$2:$A$84,A2,$D$2:$D$84,"&gt;"&amp;D2))</x:f>
        <x:v>12</x:v>
      </x:c>
      <x:c r="K2" t="n">
        <x:f>IF(H2="","",1+COUNTIFS($A$2:$A$84,A2,$H$2:$H$84,"&gt;"&amp;H2))</x:f>
        <x:v>4</x:v>
      </x:c>
    </x:row>
    <x:row r="3">
      <x:c r="A3" s="5" t="str">
        <x:v>Writing &amp; Spelling Difficulties</x:v>
      </x:c>
      <x:c r="B3" s="5" t="str">
        <x:v>Organizing written notes or explanations so they are easy for others to follow can be challenging.</x:v>
      </x:c>
      <x:c r="C3" t="n">
        <x:f>COUNTIFS(Calculation_Data!$A$2:$A$893,A3,Calculation_Data!$B$2:$B$893,B3,Calculation_Data!$C$2:$C$893,"&gt;=0")</x:f>
        <x:v>11</x:v>
      </x:c>
      <x:c r="D3" s="8" t="n">
        <x:f>IF(C3=0,"",SUMIFS(Calculation_Data!$C$2:$C$893,Calculation_Data!$A$2:$A$893,A3,Calculation_Data!$B$2:$B$893,B3)/C3)</x:f>
        <x:v>2.3636363636363638</x:v>
      </x:c>
      <x:c r="E3" t="str">
        <x:f>IF(C3=0,"",COUNTIFS(Calculation_Data!$A$2:$A$893,A3,Calculation_Data!$B$2:$B$893,B3,Calculation_Data!$C$2:$C$893,"&gt;=3")&amp;"/"&amp;C3&amp;" ("&amp;TEXT(COUNTIFS(Calculation_Data!$A$2:$A$893,A3,Calculation_Data!$B$2:$B$893,B3,Calculation_Data!$C$2:$C$893,"&gt;=3")/C3,"0.0%")&amp;")")</x:f>
        <x:v>6/11 (54.5%)</x:v>
      </x:c>
      <x:c r="F3" t="str">
        <x:f>IF(C3=0,"",COUNTIFS(Calculation_Data!$A$2:$A$893,A3,Calculation_Data!$B$2:$B$893,B3,Calculation_Data!$C$2:$C$893,"&gt;0")&amp;"/"&amp;C3&amp;" ("&amp;TEXT(COUNTIFS(Calculation_Data!$A$2:$A$893,A3,Calculation_Data!$B$2:$B$893,B3,Calculation_Data!$C$2:$C$893,"&gt;0")/C3,"0.0%")&amp;")")</x:f>
        <x:v>10/11 (90.9%)</x:v>
      </x:c>
      <x:c r="G3" t="n">
        <x:f>COUNTIFS(Calculation_Data!$A$2:$A$893,A3,Calculation_Data!$B$2:$B$893,B3,Calculation_Data!$C$2:$C$893,"&gt;0",Calculation_Data!$D$2:$D$893,"&gt;=0")</x:f>
        <x:v>10</x:v>
      </x:c>
      <x:c r="H3" s="8" t="n">
        <x:f>IF(G3=0,"",SUMIFS(Calculation_Data!$D$2:$D$893,Calculation_Data!$A$2:$A$893,A3,Calculation_Data!$B$2:$B$893,B3,Calculation_Data!$C$2:$C$893,"&gt;0")/G3)</x:f>
        <x:v>2.1</x:v>
      </x:c>
      <x:c r="I3" t="str">
        <x:f>IF(G3=0,"",COUNTIFS(Calculation_Data!$A$2:$A$893,A3,Calculation_Data!$B$2:$B$893,B3,Calculation_Data!$C$2:$C$893,"&gt;0",Calculation_Data!$D$2:$D$893,"&gt;=3")&amp;"/"&amp;G3&amp;" ("&amp;TEXT(COUNTIFS(Calculation_Data!$A$2:$A$893,A3,Calculation_Data!$B$2:$B$893,B3,Calculation_Data!$C$2:$C$893,"&gt;0",Calculation_Data!$D$2:$D$893,"&gt;=3")/G3,"0.0%")&amp;")")</x:f>
        <x:v>4/10 (40.0%)</x:v>
      </x:c>
      <x:c r="J3" t="n">
        <x:f>IF(D3="","",1+COUNTIFS($A$2:$A$84,A3,$D$2:$D$84,"&gt;"&amp;D3))</x:f>
        <x:v>10</x:v>
      </x:c>
      <x:c r="K3" t="n">
        <x:f>IF(H3="","",1+COUNTIFS($A$2:$A$84,A3,$H$2:$H$84,"&gt;"&amp;H3))</x:f>
        <x:v>11</x:v>
      </x:c>
    </x:row>
    <x:row r="4">
      <x:c r="A4" s="5" t="str">
        <x:v>Writing &amp; Spelling Difficulties</x:v>
      </x:c>
      <x:c r="B4" s="5" t="str">
        <x:v>Writing emails, chat messages, or issue descriptions can take extra effort or feel confusing.</x:v>
      </x:c>
      <x:c r="C4" t="n">
        <x:f>COUNTIFS(Calculation_Data!$A$2:$A$893,A4,Calculation_Data!$B$2:$B$893,B4,Calculation_Data!$C$2:$C$893,"&gt;=0")</x:f>
        <x:v>12</x:v>
      </x:c>
      <x:c r="D4" s="8" t="n">
        <x:f>IF(C4=0,"",SUMIFS(Calculation_Data!$C$2:$C$893,Calculation_Data!$A$2:$A$893,A4,Calculation_Data!$B$2:$B$893,B4)/C4)</x:f>
        <x:v>2.6666666666666665</x:v>
      </x:c>
      <x:c r="E4" t="str">
        <x:f>IF(C4=0,"",COUNTIFS(Calculation_Data!$A$2:$A$893,A4,Calculation_Data!$B$2:$B$893,B4,Calculation_Data!$C$2:$C$893,"&gt;=3")&amp;"/"&amp;C4&amp;" ("&amp;TEXT(COUNTIFS(Calculation_Data!$A$2:$A$893,A4,Calculation_Data!$B$2:$B$893,B4,Calculation_Data!$C$2:$C$893,"&gt;=3")/C4,"0.0%")&amp;")")</x:f>
        <x:v>6/12 (50.0%)</x:v>
      </x:c>
      <x:c r="F4" t="str">
        <x:f>IF(C4=0,"",COUNTIFS(Calculation_Data!$A$2:$A$893,A4,Calculation_Data!$B$2:$B$893,B4,Calculation_Data!$C$2:$C$893,"&gt;0")&amp;"/"&amp;C4&amp;" ("&amp;TEXT(COUNTIFS(Calculation_Data!$A$2:$A$893,A4,Calculation_Data!$B$2:$B$893,B4,Calculation_Data!$C$2:$C$893,"&gt;0")/C4,"0.0%")&amp;")")</x:f>
        <x:v>11/12 (91.7%)</x:v>
      </x:c>
      <x:c r="G4" t="n">
        <x:f>COUNTIFS(Calculation_Data!$A$2:$A$893,A4,Calculation_Data!$B$2:$B$893,B4,Calculation_Data!$C$2:$C$893,"&gt;0",Calculation_Data!$D$2:$D$893,"&gt;=0")</x:f>
        <x:v>11</x:v>
      </x:c>
      <x:c r="H4" s="8" t="n">
        <x:f>IF(G4=0,"",SUMIFS(Calculation_Data!$D$2:$D$893,Calculation_Data!$A$2:$A$893,A4,Calculation_Data!$B$2:$B$893,B4,Calculation_Data!$C$2:$C$893,"&gt;0")/G4)</x:f>
        <x:v>2.1818181818181817</x:v>
      </x:c>
      <x:c r="I4" t="str">
        <x:f>IF(G4=0,"",COUNTIFS(Calculation_Data!$A$2:$A$893,A4,Calculation_Data!$B$2:$B$893,B4,Calculation_Data!$C$2:$C$893,"&gt;0",Calculation_Data!$D$2:$D$893,"&gt;=3")&amp;"/"&amp;G4&amp;" ("&amp;TEXT(COUNTIFS(Calculation_Data!$A$2:$A$893,A4,Calculation_Data!$B$2:$B$893,B4,Calculation_Data!$C$2:$C$893,"&gt;0",Calculation_Data!$D$2:$D$893,"&gt;=3")/G4,"0.0%")&amp;")")</x:f>
        <x:v>4/11 (36.4%)</x:v>
      </x:c>
      <x:c r="J4" t="n">
        <x:f>IF(D4="","",1+COUNTIFS($A$2:$A$84,A4,$D$2:$D$84,"&gt;"&amp;D4))</x:f>
        <x:v>6</x:v>
      </x:c>
      <x:c r="K4" t="n">
        <x:f>IF(H4="","",1+COUNTIFS($A$2:$A$84,A4,$H$2:$H$84,"&gt;"&amp;H4))</x:f>
        <x:v>9</x:v>
      </x:c>
    </x:row>
    <x:row r="5">
      <x:c r="A5" s="5" t="str">
        <x:v>Writing &amp; Spelling Difficulties</x:v>
      </x:c>
      <x:c r="B5" s="5" t="str">
        <x:v>Putting thoughts into clear written explanations can require extra time.</x:v>
      </x:c>
      <x:c r="C5" t="n">
        <x:f>COUNTIFS(Calculation_Data!$A$2:$A$893,A5,Calculation_Data!$B$2:$B$893,B5,Calculation_Data!$C$2:$C$893,"&gt;=0")</x:f>
        <x:v>12</x:v>
      </x:c>
      <x:c r="D5" s="8" t="n">
        <x:f>IF(C5=0,"",SUMIFS(Calculation_Data!$C$2:$C$893,Calculation_Data!$A$2:$A$893,A5,Calculation_Data!$B$2:$B$893,B5)/C5)</x:f>
        <x:v>3</x:v>
      </x:c>
      <x:c r="E5" t="str">
        <x:f>IF(C5=0,"",COUNTIFS(Calculation_Data!$A$2:$A$893,A5,Calculation_Data!$B$2:$B$893,B5,Calculation_Data!$C$2:$C$893,"&gt;=3")&amp;"/"&amp;C5&amp;" ("&amp;TEXT(COUNTIFS(Calculation_Data!$A$2:$A$893,A5,Calculation_Data!$B$2:$B$893,B5,Calculation_Data!$C$2:$C$893,"&gt;=3")/C5,"0.0%")&amp;")")</x:f>
        <x:v>8/12 (66.7%)</x:v>
      </x:c>
      <x:c r="F5" t="str">
        <x:f>IF(C5=0,"",COUNTIFS(Calculation_Data!$A$2:$A$893,A5,Calculation_Data!$B$2:$B$893,B5,Calculation_Data!$C$2:$C$893,"&gt;0")&amp;"/"&amp;C5&amp;" ("&amp;TEXT(COUNTIFS(Calculation_Data!$A$2:$A$893,A5,Calculation_Data!$B$2:$B$893,B5,Calculation_Data!$C$2:$C$893,"&gt;0")/C5,"0.0%")&amp;")")</x:f>
        <x:v>12/12 (100.0%)</x:v>
      </x:c>
      <x:c r="G5" t="n">
        <x:f>COUNTIFS(Calculation_Data!$A$2:$A$893,A5,Calculation_Data!$B$2:$B$893,B5,Calculation_Data!$C$2:$C$893,"&gt;0",Calculation_Data!$D$2:$D$893,"&gt;=0")</x:f>
        <x:v>12</x:v>
      </x:c>
      <x:c r="H5" s="8" t="n">
        <x:f>IF(G5=0,"",SUMIFS(Calculation_Data!$D$2:$D$893,Calculation_Data!$A$2:$A$893,A5,Calculation_Data!$B$2:$B$893,B5,Calculation_Data!$C$2:$C$893,"&gt;0")/G5)</x:f>
        <x:v>2.25</x:v>
      </x:c>
      <x:c r="I5" t="str">
        <x:f>IF(G5=0,"",COUNTIFS(Calculation_Data!$A$2:$A$893,A5,Calculation_Data!$B$2:$B$893,B5,Calculation_Data!$C$2:$C$893,"&gt;0",Calculation_Data!$D$2:$D$893,"&gt;=3")&amp;"/"&amp;G5&amp;" ("&amp;TEXT(COUNTIFS(Calculation_Data!$A$2:$A$893,A5,Calculation_Data!$B$2:$B$893,B5,Calculation_Data!$C$2:$C$893,"&gt;0",Calculation_Data!$D$2:$D$893,"&gt;=3")/G5,"0.0%")&amp;")")</x:f>
        <x:v>4/12 (33.3%)</x:v>
      </x:c>
      <x:c r="J5" t="n">
        <x:f>IF(D5="","",1+COUNTIFS($A$2:$A$84,A5,$D$2:$D$84,"&gt;"&amp;D5))</x:f>
        <x:v>2</x:v>
      </x:c>
      <x:c r="K5" t="n">
        <x:f>IF(H5="","",1+COUNTIFS($A$2:$A$84,A5,$H$2:$H$84,"&gt;"&amp;H5))</x:f>
        <x:v>6</x:v>
      </x:c>
    </x:row>
    <x:row r="6">
      <x:c r="A6" s="5" t="str">
        <x:v>Writing &amp; Spelling Difficulties</x:v>
      </x:c>
      <x:c r="B6" s="5" t="str">
        <x:v>Spelling difficulties can affect how variables, methods, or configuration names are written.</x:v>
      </x:c>
      <x:c r="C6" t="n">
        <x:f>COUNTIFS(Calculation_Data!$A$2:$A$893,A6,Calculation_Data!$B$2:$B$893,B6,Calculation_Data!$C$2:$C$893,"&gt;=0")</x:f>
        <x:v>12</x:v>
      </x:c>
      <x:c r="D6" s="8" t="n">
        <x:f>IF(C6=0,"",SUMIFS(Calculation_Data!$C$2:$C$893,Calculation_Data!$A$2:$A$893,A6,Calculation_Data!$B$2:$B$893,B6)/C6)</x:f>
        <x:v>2.6666666666666665</x:v>
      </x:c>
      <x:c r="E6" t="str">
        <x:f>IF(C6=0,"",COUNTIFS(Calculation_Data!$A$2:$A$893,A6,Calculation_Data!$B$2:$B$893,B6,Calculation_Data!$C$2:$C$893,"&gt;=3")&amp;"/"&amp;C6&amp;" ("&amp;TEXT(COUNTIFS(Calculation_Data!$A$2:$A$893,A6,Calculation_Data!$B$2:$B$893,B6,Calculation_Data!$C$2:$C$893,"&gt;=3")/C6,"0.0%")&amp;")")</x:f>
        <x:v>7/12 (58.3%)</x:v>
      </x:c>
      <x:c r="F6" t="str">
        <x:f>IF(C6=0,"",COUNTIFS(Calculation_Data!$A$2:$A$893,A6,Calculation_Data!$B$2:$B$893,B6,Calculation_Data!$C$2:$C$893,"&gt;0")&amp;"/"&amp;C6&amp;" ("&amp;TEXT(COUNTIFS(Calculation_Data!$A$2:$A$893,A6,Calculation_Data!$B$2:$B$893,B6,Calculation_Data!$C$2:$C$893,"&gt;0")/C6,"0.0%")&amp;")")</x:f>
        <x:v>11/12 (91.7%)</x:v>
      </x:c>
      <x:c r="G6" t="n">
        <x:f>COUNTIFS(Calculation_Data!$A$2:$A$893,A6,Calculation_Data!$B$2:$B$893,B6,Calculation_Data!$C$2:$C$893,"&gt;0",Calculation_Data!$D$2:$D$893,"&gt;=0")</x:f>
        <x:v>11</x:v>
      </x:c>
      <x:c r="H6" s="8" t="n">
        <x:f>IF(G6=0,"",SUMIFS(Calculation_Data!$D$2:$D$893,Calculation_Data!$A$2:$A$893,A6,Calculation_Data!$B$2:$B$893,B6,Calculation_Data!$C$2:$C$893,"&gt;0")/G6)</x:f>
        <x:v>2.6363636363636362</x:v>
      </x:c>
      <x:c r="I6" t="str">
        <x:f>IF(G6=0,"",COUNTIFS(Calculation_Data!$A$2:$A$893,A6,Calculation_Data!$B$2:$B$893,B6,Calculation_Data!$C$2:$C$893,"&gt;0",Calculation_Data!$D$2:$D$893,"&gt;=3")&amp;"/"&amp;G6&amp;" ("&amp;TEXT(COUNTIFS(Calculation_Data!$A$2:$A$893,A6,Calculation_Data!$B$2:$B$893,B6,Calculation_Data!$C$2:$C$893,"&gt;0",Calculation_Data!$D$2:$D$893,"&gt;=3")/G6,"0.0%")&amp;")")</x:f>
        <x:v>5/11 (45.5%)</x:v>
      </x:c>
      <x:c r="J6" t="n">
        <x:f>IF(D6="","",1+COUNTIFS($A$2:$A$84,A6,$D$2:$D$84,"&gt;"&amp;D6))</x:f>
        <x:v>6</x:v>
      </x:c>
      <x:c r="K6" t="n">
        <x:f>IF(H6="","",1+COUNTIFS($A$2:$A$84,A6,$H$2:$H$84,"&gt;"&amp;H6))</x:f>
        <x:v>3</x:v>
      </x:c>
    </x:row>
    <x:row r="7">
      <x:c r="A7" s="5" t="str">
        <x:v>Writing &amp; Spelling Difficulties</x:v>
      </x:c>
      <x:c r="B7" s="5" t="str">
        <x:v>Misspellings in code can lead to inconsistent variable or function names.</x:v>
      </x:c>
      <x:c r="C7" t="n">
        <x:f>COUNTIFS(Calculation_Data!$A$2:$A$893,A7,Calculation_Data!$B$2:$B$893,B7,Calculation_Data!$C$2:$C$893,"&gt;=0")</x:f>
        <x:v>12</x:v>
      </x:c>
      <x:c r="D7" s="8" t="n">
        <x:f>IF(C7=0,"",SUMIFS(Calculation_Data!$C$2:$C$893,Calculation_Data!$A$2:$A$893,A7,Calculation_Data!$B$2:$B$893,B7)/C7)</x:f>
        <x:v>2.5</x:v>
      </x:c>
      <x:c r="E7" t="str">
        <x:f>IF(C7=0,"",COUNTIFS(Calculation_Data!$A$2:$A$893,A7,Calculation_Data!$B$2:$B$893,B7,Calculation_Data!$C$2:$C$893,"&gt;=3")&amp;"/"&amp;C7&amp;" ("&amp;TEXT(COUNTIFS(Calculation_Data!$A$2:$A$893,A7,Calculation_Data!$B$2:$B$893,B7,Calculation_Data!$C$2:$C$893,"&gt;=3")/C7,"0.0%")&amp;")")</x:f>
        <x:v>8/12 (66.7%)</x:v>
      </x:c>
      <x:c r="F7" t="str">
        <x:f>IF(C7=0,"",COUNTIFS(Calculation_Data!$A$2:$A$893,A7,Calculation_Data!$B$2:$B$893,B7,Calculation_Data!$C$2:$C$893,"&gt;0")&amp;"/"&amp;C7&amp;" ("&amp;TEXT(COUNTIFS(Calculation_Data!$A$2:$A$893,A7,Calculation_Data!$B$2:$B$893,B7,Calculation_Data!$C$2:$C$893,"&gt;0")/C7,"0.0%")&amp;")")</x:f>
        <x:v>10/12 (83.3%)</x:v>
      </x:c>
      <x:c r="G7" t="n">
        <x:f>COUNTIFS(Calculation_Data!$A$2:$A$893,A7,Calculation_Data!$B$2:$B$893,B7,Calculation_Data!$C$2:$C$893,"&gt;0",Calculation_Data!$D$2:$D$893,"&gt;=0")</x:f>
        <x:v>10</x:v>
      </x:c>
      <x:c r="H7" s="8" t="n">
        <x:f>IF(G7=0,"",SUMIFS(Calculation_Data!$D$2:$D$893,Calculation_Data!$A$2:$A$893,A7,Calculation_Data!$B$2:$B$893,B7,Calculation_Data!$C$2:$C$893,"&gt;0")/G7)</x:f>
        <x:v>2.2</x:v>
      </x:c>
      <x:c r="I7" t="str">
        <x:f>IF(G7=0,"",COUNTIFS(Calculation_Data!$A$2:$A$893,A7,Calculation_Data!$B$2:$B$893,B7,Calculation_Data!$C$2:$C$893,"&gt;0",Calculation_Data!$D$2:$D$893,"&gt;=3")&amp;"/"&amp;G7&amp;" ("&amp;TEXT(COUNTIFS(Calculation_Data!$A$2:$A$893,A7,Calculation_Data!$B$2:$B$893,B7,Calculation_Data!$C$2:$C$893,"&gt;0",Calculation_Data!$D$2:$D$893,"&gt;=3")/G7,"0.0%")&amp;")")</x:f>
        <x:v>2/10 (20.0%)</x:v>
      </x:c>
      <x:c r="J7" t="n">
        <x:f>IF(D7="","",1+COUNTIFS($A$2:$A$84,A7,$D$2:$D$84,"&gt;"&amp;D7))</x:f>
        <x:v>8</x:v>
      </x:c>
      <x:c r="K7" t="n">
        <x:f>IF(H7="","",1+COUNTIFS($A$2:$A$84,A7,$H$2:$H$84,"&gt;"&amp;H7))</x:f>
        <x:v>7</x:v>
      </x:c>
    </x:row>
    <x:row r="8">
      <x:c r="A8" s="5" t="str">
        <x:v>Writing &amp; Spelling Difficulties</x:v>
      </x:c>
      <x:c r="B8" s="5" t="str">
        <x:v>It can be difficult to notice and correct spelling mistakes in what I write.</x:v>
      </x:c>
      <x:c r="C8" t="n">
        <x:f>COUNTIFS(Calculation_Data!$A$2:$A$893,A8,Calculation_Data!$B$2:$B$893,B8,Calculation_Data!$C$2:$C$893,"&gt;=0")</x:f>
        <x:v>12</x:v>
      </x:c>
      <x:c r="D8" s="8" t="n">
        <x:f>IF(C8=0,"",SUMIFS(Calculation_Data!$C$2:$C$893,Calculation_Data!$A$2:$A$893,A8,Calculation_Data!$B$2:$B$893,B8)/C8)</x:f>
        <x:v>3.0833333333333335</x:v>
      </x:c>
      <x:c r="E8" t="str">
        <x:f>IF(C8=0,"",COUNTIFS(Calculation_Data!$A$2:$A$893,A8,Calculation_Data!$B$2:$B$893,B8,Calculation_Data!$C$2:$C$893,"&gt;=3")&amp;"/"&amp;C8&amp;" ("&amp;TEXT(COUNTIFS(Calculation_Data!$A$2:$A$893,A8,Calculation_Data!$B$2:$B$893,B8,Calculation_Data!$C$2:$C$893,"&gt;=3")/C8,"0.0%")&amp;")")</x:f>
        <x:v>9/12 (75.0%)</x:v>
      </x:c>
      <x:c r="F8" t="str">
        <x:f>IF(C8=0,"",COUNTIFS(Calculation_Data!$A$2:$A$893,A8,Calculation_Data!$B$2:$B$893,B8,Calculation_Data!$C$2:$C$893,"&gt;0")&amp;"/"&amp;C8&amp;" ("&amp;TEXT(COUNTIFS(Calculation_Data!$A$2:$A$893,A8,Calculation_Data!$B$2:$B$893,B8,Calculation_Data!$C$2:$C$893,"&gt;0")/C8,"0.0%")&amp;")")</x:f>
        <x:v>11/12 (91.7%)</x:v>
      </x:c>
      <x:c r="G8" t="n">
        <x:f>COUNTIFS(Calculation_Data!$A$2:$A$893,A8,Calculation_Data!$B$2:$B$893,B8,Calculation_Data!$C$2:$C$893,"&gt;0",Calculation_Data!$D$2:$D$893,"&gt;=0")</x:f>
        <x:v>11</x:v>
      </x:c>
      <x:c r="H8" s="8" t="n">
        <x:f>IF(G8=0,"",SUMIFS(Calculation_Data!$D$2:$D$893,Calculation_Data!$A$2:$A$893,A8,Calculation_Data!$B$2:$B$893,B8,Calculation_Data!$C$2:$C$893,"&gt;0")/G8)</x:f>
        <x:v>2.909090909090909</x:v>
      </x:c>
      <x:c r="I8" t="str">
        <x:f>IF(G8=0,"",COUNTIFS(Calculation_Data!$A$2:$A$893,A8,Calculation_Data!$B$2:$B$893,B8,Calculation_Data!$C$2:$C$893,"&gt;0",Calculation_Data!$D$2:$D$893,"&gt;=3")&amp;"/"&amp;G8&amp;" ("&amp;TEXT(COUNTIFS(Calculation_Data!$A$2:$A$893,A8,Calculation_Data!$B$2:$B$893,B8,Calculation_Data!$C$2:$C$893,"&gt;0",Calculation_Data!$D$2:$D$893,"&gt;=3")/G8,"0.0%")&amp;")")</x:f>
        <x:v>7/11 (63.6%)</x:v>
      </x:c>
      <x:c r="J8" t="n">
        <x:f>IF(D8="","",1+COUNTIFS($A$2:$A$84,A8,$D$2:$D$84,"&gt;"&amp;D8))</x:f>
        <x:v>1</x:v>
      </x:c>
      <x:c r="K8" t="n">
        <x:f>IF(H8="","",1+COUNTIFS($A$2:$A$84,A8,$H$2:$H$84,"&gt;"&amp;H8))</x:f>
        <x:v>1</x:v>
      </x:c>
    </x:row>
    <x:row r="9">
      <x:c r="A9" s="5" t="str">
        <x:v>Writing &amp; Spelling Difficulties</x:v>
      </x:c>
      <x:c r="B9" s="5" t="str">
        <x:v>Writing with correct spelling often takes longer than expected.</x:v>
      </x:c>
      <x:c r="C9" t="n">
        <x:f>COUNTIFS(Calculation_Data!$A$2:$A$893,A9,Calculation_Data!$B$2:$B$893,B9,Calculation_Data!$C$2:$C$893,"&gt;=0")</x:f>
        <x:v>13</x:v>
      </x:c>
      <x:c r="D9" s="8" t="n">
        <x:f>IF(C9=0,"",SUMIFS(Calculation_Data!$C$2:$C$893,Calculation_Data!$A$2:$A$893,A9,Calculation_Data!$B$2:$B$893,B9)/C9)</x:f>
        <x:v>2.769230769230769</x:v>
      </x:c>
      <x:c r="E9" t="str">
        <x:f>IF(C9=0,"",COUNTIFS(Calculation_Data!$A$2:$A$893,A9,Calculation_Data!$B$2:$B$893,B9,Calculation_Data!$C$2:$C$893,"&gt;=3")&amp;"/"&amp;C9&amp;" ("&amp;TEXT(COUNTIFS(Calculation_Data!$A$2:$A$893,A9,Calculation_Data!$B$2:$B$893,B9,Calculation_Data!$C$2:$C$893,"&gt;=3")/C9,"0.0%")&amp;")")</x:f>
        <x:v>8/13 (61.5%)</x:v>
      </x:c>
      <x:c r="F9" t="str">
        <x:f>IF(C9=0,"",COUNTIFS(Calculation_Data!$A$2:$A$893,A9,Calculation_Data!$B$2:$B$893,B9,Calculation_Data!$C$2:$C$893,"&gt;0")&amp;"/"&amp;C9&amp;" ("&amp;TEXT(COUNTIFS(Calculation_Data!$A$2:$A$893,A9,Calculation_Data!$B$2:$B$893,B9,Calculation_Data!$C$2:$C$893,"&gt;0")/C9,"0.0%")&amp;")")</x:f>
        <x:v>12/13 (92.3%)</x:v>
      </x:c>
      <x:c r="G9" t="n">
        <x:f>COUNTIFS(Calculation_Data!$A$2:$A$893,A9,Calculation_Data!$B$2:$B$893,B9,Calculation_Data!$C$2:$C$893,"&gt;0",Calculation_Data!$D$2:$D$893,"&gt;=0")</x:f>
        <x:v>12</x:v>
      </x:c>
      <x:c r="H9" s="8" t="n">
        <x:f>IF(G9=0,"",SUMIFS(Calculation_Data!$D$2:$D$893,Calculation_Data!$A$2:$A$893,A9,Calculation_Data!$B$2:$B$893,B9,Calculation_Data!$C$2:$C$893,"&gt;0")/G9)</x:f>
        <x:v>2.1666666666666665</x:v>
      </x:c>
      <x:c r="I9" t="str">
        <x:f>IF(G9=0,"",COUNTIFS(Calculation_Data!$A$2:$A$893,A9,Calculation_Data!$B$2:$B$893,B9,Calculation_Data!$C$2:$C$893,"&gt;0",Calculation_Data!$D$2:$D$893,"&gt;=3")&amp;"/"&amp;G9&amp;" ("&amp;TEXT(COUNTIFS(Calculation_Data!$A$2:$A$893,A9,Calculation_Data!$B$2:$B$893,B9,Calculation_Data!$C$2:$C$893,"&gt;0",Calculation_Data!$D$2:$D$893,"&gt;=3")/G9,"0.0%")&amp;")")</x:f>
        <x:v>3/12 (25.0%)</x:v>
      </x:c>
      <x:c r="J9" t="n">
        <x:f>IF(D9="","",1+COUNTIFS($A$2:$A$84,A9,$D$2:$D$84,"&gt;"&amp;D9))</x:f>
        <x:v>4</x:v>
      </x:c>
      <x:c r="K9" t="n">
        <x:f>IF(H9="","",1+COUNTIFS($A$2:$A$84,A9,$H$2:$H$84,"&gt;"&amp;H9))</x:f>
        <x:v>10</x:v>
      </x:c>
    </x:row>
    <x:row r="10">
      <x:c r="A10" s="5" t="str">
        <x:v>Writing &amp; Spelling Difficulties</x:v>
      </x:c>
      <x:c r="B10" s="5" t="str">
        <x:v>Concerns about spelling mistakes can sometimes create stress or self-doubt when writing.</x:v>
      </x:c>
      <x:c r="C10" t="n">
        <x:f>COUNTIFS(Calculation_Data!$A$2:$A$893,A10,Calculation_Data!$B$2:$B$893,B10,Calculation_Data!$C$2:$C$893,"&gt;=0")</x:f>
        <x:v>12</x:v>
      </x:c>
      <x:c r="D10" s="8" t="n">
        <x:f>IF(C10=0,"",SUMIFS(Calculation_Data!$C$2:$C$893,Calculation_Data!$A$2:$A$893,A10,Calculation_Data!$B$2:$B$893,B10)/C10)</x:f>
        <x:v>3</x:v>
      </x:c>
      <x:c r="E10" t="str">
        <x:f>IF(C10=0,"",COUNTIFS(Calculation_Data!$A$2:$A$893,A10,Calculation_Data!$B$2:$B$893,B10,Calculation_Data!$C$2:$C$893,"&gt;=3")&amp;"/"&amp;C10&amp;" ("&amp;TEXT(COUNTIFS(Calculation_Data!$A$2:$A$893,A10,Calculation_Data!$B$2:$B$893,B10,Calculation_Data!$C$2:$C$893,"&gt;=3")/C10,"0.0%")&amp;")")</x:f>
        <x:v>7/12 (58.3%)</x:v>
      </x:c>
      <x:c r="F10" t="str">
        <x:f>IF(C10=0,"",COUNTIFS(Calculation_Data!$A$2:$A$893,A10,Calculation_Data!$B$2:$B$893,B10,Calculation_Data!$C$2:$C$893,"&gt;0")&amp;"/"&amp;C10&amp;" ("&amp;TEXT(COUNTIFS(Calculation_Data!$A$2:$A$893,A10,Calculation_Data!$B$2:$B$893,B10,Calculation_Data!$C$2:$C$893,"&gt;0")/C10,"0.0%")&amp;")")</x:f>
        <x:v>12/12 (100.0%)</x:v>
      </x:c>
      <x:c r="G10" t="n">
        <x:f>COUNTIFS(Calculation_Data!$A$2:$A$893,A10,Calculation_Data!$B$2:$B$893,B10,Calculation_Data!$C$2:$C$893,"&gt;0",Calculation_Data!$D$2:$D$893,"&gt;=0")</x:f>
        <x:v>12</x:v>
      </x:c>
      <x:c r="H10" s="8" t="n">
        <x:f>IF(G10=0,"",SUMIFS(Calculation_Data!$D$2:$D$893,Calculation_Data!$A$2:$A$893,A10,Calculation_Data!$B$2:$B$893,B10,Calculation_Data!$C$2:$C$893,"&gt;0")/G10)</x:f>
        <x:v>2.3333333333333335</x:v>
      </x:c>
      <x:c r="I10" t="str">
        <x:f>IF(G10=0,"",COUNTIFS(Calculation_Data!$A$2:$A$893,A10,Calculation_Data!$B$2:$B$893,B10,Calculation_Data!$C$2:$C$893,"&gt;0",Calculation_Data!$D$2:$D$893,"&gt;=3")&amp;"/"&amp;G10&amp;" ("&amp;TEXT(COUNTIFS(Calculation_Data!$A$2:$A$893,A10,Calculation_Data!$B$2:$B$893,B10,Calculation_Data!$C$2:$C$893,"&gt;0",Calculation_Data!$D$2:$D$893,"&gt;=3")/G10,"0.0%")&amp;")")</x:f>
        <x:v>6/12 (50.0%)</x:v>
      </x:c>
      <x:c r="J10" t="n">
        <x:f>IF(D10="","",1+COUNTIFS($A$2:$A$84,A10,$D$2:$D$84,"&gt;"&amp;D10))</x:f>
        <x:v>2</x:v>
      </x:c>
      <x:c r="K10" t="n">
        <x:f>IF(H10="","",1+COUNTIFS($A$2:$A$84,A10,$H$2:$H$84,"&gt;"&amp;H10))</x:f>
        <x:v>5</x:v>
      </x:c>
    </x:row>
    <x:row r="11">
      <x:c r="A11" s="5" t="str">
        <x:v>Writing &amp; Spelling Difficulties</x:v>
      </x:c>
      <x:c r="B11" s="5" t="str">
        <x:v>Typing mistakes can make it harder to produce clean or error-free code.</x:v>
      </x:c>
      <x:c r="C11" t="n">
        <x:f>COUNTIFS(Calculation_Data!$A$2:$A$893,A11,Calculation_Data!$B$2:$B$893,B11,Calculation_Data!$C$2:$C$893,"&gt;=0")</x:f>
        <x:v>11</x:v>
      </x:c>
      <x:c r="D11" s="8" t="n">
        <x:f>IF(C11=0,"",SUMIFS(Calculation_Data!$C$2:$C$893,Calculation_Data!$A$2:$A$893,A11,Calculation_Data!$B$2:$B$893,B11)/C11)</x:f>
        <x:v>2.3636363636363638</x:v>
      </x:c>
      <x:c r="E11" t="str">
        <x:f>IF(C11=0,"",COUNTIFS(Calculation_Data!$A$2:$A$893,A11,Calculation_Data!$B$2:$B$893,B11,Calculation_Data!$C$2:$C$893,"&gt;=3")&amp;"/"&amp;C11&amp;" ("&amp;TEXT(COUNTIFS(Calculation_Data!$A$2:$A$893,A11,Calculation_Data!$B$2:$B$893,B11,Calculation_Data!$C$2:$C$893,"&gt;=3")/C11,"0.0%")&amp;")")</x:f>
        <x:v>7/11 (63.6%)</x:v>
      </x:c>
      <x:c r="F11" t="str">
        <x:f>IF(C11=0,"",COUNTIFS(Calculation_Data!$A$2:$A$893,A11,Calculation_Data!$B$2:$B$893,B11,Calculation_Data!$C$2:$C$893,"&gt;0")&amp;"/"&amp;C11&amp;" ("&amp;TEXT(COUNTIFS(Calculation_Data!$A$2:$A$893,A11,Calculation_Data!$B$2:$B$893,B11,Calculation_Data!$C$2:$C$893,"&gt;0")/C11,"0.0%")&amp;")")</x:f>
        <x:v>10/11 (90.9%)</x:v>
      </x:c>
      <x:c r="G11" t="n">
        <x:f>COUNTIFS(Calculation_Data!$A$2:$A$893,A11,Calculation_Data!$B$2:$B$893,B11,Calculation_Data!$C$2:$C$893,"&gt;0",Calculation_Data!$D$2:$D$893,"&gt;=0")</x:f>
        <x:v>10</x:v>
      </x:c>
      <x:c r="H11" s="8" t="n">
        <x:f>IF(G11=0,"",SUMIFS(Calculation_Data!$D$2:$D$893,Calculation_Data!$A$2:$A$893,A11,Calculation_Data!$B$2:$B$893,B11,Calculation_Data!$C$2:$C$893,"&gt;0")/G11)</x:f>
        <x:v>2.2</x:v>
      </x:c>
      <x:c r="I11" t="str">
        <x:f>IF(G11=0,"",COUNTIFS(Calculation_Data!$A$2:$A$893,A11,Calculation_Data!$B$2:$B$893,B11,Calculation_Data!$C$2:$C$893,"&gt;0",Calculation_Data!$D$2:$D$893,"&gt;=3")&amp;"/"&amp;G11&amp;" ("&amp;TEXT(COUNTIFS(Calculation_Data!$A$2:$A$893,A11,Calculation_Data!$B$2:$B$893,B11,Calculation_Data!$C$2:$C$893,"&gt;0",Calculation_Data!$D$2:$D$893,"&gt;=3")/G11,"0.0%")&amp;")")</x:f>
        <x:v>2/10 (20.0%)</x:v>
      </x:c>
      <x:c r="J11" t="n">
        <x:f>IF(D11="","",1+COUNTIFS($A$2:$A$84,A11,$D$2:$D$84,"&gt;"&amp;D11))</x:f>
        <x:v>10</x:v>
      </x:c>
      <x:c r="K11" t="n">
        <x:f>IF(H11="","",1+COUNTIFS($A$2:$A$84,A11,$H$2:$H$84,"&gt;"&amp;H11))</x:f>
        <x:v>7</x:v>
      </x:c>
    </x:row>
    <x:row r="12">
      <x:c r="A12" s="5" t="str">
        <x:v>Writing &amp; Spelling Difficulties</x:v>
      </x:c>
      <x:c r="B12" s="5" t="str">
        <x:v>Writing technical documentation clearly and accurately can be challenging.</x:v>
      </x:c>
      <x:c r="C12" t="n">
        <x:f>COUNTIFS(Calculation_Data!$A$2:$A$893,A12,Calculation_Data!$B$2:$B$893,B12,Calculation_Data!$C$2:$C$893,"&gt;=0")</x:f>
        <x:v>13</x:v>
      </x:c>
      <x:c r="D12" s="8" t="n">
        <x:f>IF(C12=0,"",SUMIFS(Calculation_Data!$C$2:$C$893,Calculation_Data!$A$2:$A$893,A12,Calculation_Data!$B$2:$B$893,B12)/C12)</x:f>
        <x:v>2.6923076923076925</x:v>
      </x:c>
      <x:c r="E12" t="str">
        <x:f>IF(C12=0,"",COUNTIFS(Calculation_Data!$A$2:$A$893,A12,Calculation_Data!$B$2:$B$893,B12,Calculation_Data!$C$2:$C$893,"&gt;=3")&amp;"/"&amp;C12&amp;" ("&amp;TEXT(COUNTIFS(Calculation_Data!$A$2:$A$893,A12,Calculation_Data!$B$2:$B$893,B12,Calculation_Data!$C$2:$C$893,"&gt;=3")/C12,"0.0%")&amp;")")</x:f>
        <x:v>7/13 (53.8%)</x:v>
      </x:c>
      <x:c r="F12" t="str">
        <x:f>IF(C12=0,"",COUNTIFS(Calculation_Data!$A$2:$A$893,A12,Calculation_Data!$B$2:$B$893,B12,Calculation_Data!$C$2:$C$893,"&gt;0")&amp;"/"&amp;C12&amp;" ("&amp;TEXT(COUNTIFS(Calculation_Data!$A$2:$A$893,A12,Calculation_Data!$B$2:$B$893,B12,Calculation_Data!$C$2:$C$893,"&gt;0")/C12,"0.0%")&amp;")")</x:f>
        <x:v>12/13 (92.3%)</x:v>
      </x:c>
      <x:c r="G12" t="n">
        <x:f>COUNTIFS(Calculation_Data!$A$2:$A$893,A12,Calculation_Data!$B$2:$B$893,B12,Calculation_Data!$C$2:$C$893,"&gt;0",Calculation_Data!$D$2:$D$893,"&gt;=0")</x:f>
        <x:v>12</x:v>
      </x:c>
      <x:c r="H12" s="8" t="n">
        <x:f>IF(G12=0,"",SUMIFS(Calculation_Data!$D$2:$D$893,Calculation_Data!$A$2:$A$893,A12,Calculation_Data!$B$2:$B$893,B12,Calculation_Data!$C$2:$C$893,"&gt;0")/G12)</x:f>
        <x:v>2.6666666666666665</x:v>
      </x:c>
      <x:c r="I12" t="str">
        <x:f>IF(G12=0,"",COUNTIFS(Calculation_Data!$A$2:$A$893,A12,Calculation_Data!$B$2:$B$893,B12,Calculation_Data!$C$2:$C$893,"&gt;0",Calculation_Data!$D$2:$D$893,"&gt;=3")&amp;"/"&amp;G12&amp;" ("&amp;TEXT(COUNTIFS(Calculation_Data!$A$2:$A$893,A12,Calculation_Data!$B$2:$B$893,B12,Calculation_Data!$C$2:$C$893,"&gt;0",Calculation_Data!$D$2:$D$893,"&gt;=3")/G12,"0.0%")&amp;")")</x:f>
        <x:v>7/12 (58.3%)</x:v>
      </x:c>
      <x:c r="J12" t="n">
        <x:f>IF(D12="","",1+COUNTIFS($A$2:$A$84,A12,$D$2:$D$84,"&gt;"&amp;D12))</x:f>
        <x:v>5</x:v>
      </x:c>
      <x:c r="K12" t="n">
        <x:f>IF(H12="","",1+COUNTIFS($A$2:$A$84,A12,$H$2:$H$84,"&gt;"&amp;H12))</x:f>
        <x:v>2</x:v>
      </x:c>
    </x:row>
    <x:row r="13">
      <x:c r="A13" s="5" t="str">
        <x:v>Writing &amp; Spelling Difficulties</x:v>
      </x:c>
      <x:c r="B13" s="5" t="str">
        <x:v>Formatting written content so that it is easy to read can require extra effort.</x:v>
      </x:c>
      <x:c r="C13" t="n">
        <x:f>COUNTIFS(Calculation_Data!$A$2:$A$893,A13,Calculation_Data!$B$2:$B$893,B13,Calculation_Data!$C$2:$C$893,"&gt;=0")</x:f>
        <x:v>12</x:v>
      </x:c>
      <x:c r="D13" s="8" t="n">
        <x:f>IF(C13=0,"",SUMIFS(Calculation_Data!$C$2:$C$893,Calculation_Data!$A$2:$A$893,A13,Calculation_Data!$B$2:$B$893,B13)/C13)</x:f>
        <x:v>2.4166666666666665</x:v>
      </x:c>
      <x:c r="E13" t="str">
        <x:f>IF(C13=0,"",COUNTIFS(Calculation_Data!$A$2:$A$893,A13,Calculation_Data!$B$2:$B$893,B13,Calculation_Data!$C$2:$C$893,"&gt;=3")&amp;"/"&amp;C13&amp;" ("&amp;TEXT(COUNTIFS(Calculation_Data!$A$2:$A$893,A13,Calculation_Data!$B$2:$B$893,B13,Calculation_Data!$C$2:$C$893,"&gt;=3")/C13,"0.0%")&amp;")")</x:f>
        <x:v>5/12 (41.7%)</x:v>
      </x:c>
      <x:c r="F13" t="str">
        <x:f>IF(C13=0,"",COUNTIFS(Calculation_Data!$A$2:$A$893,A13,Calculation_Data!$B$2:$B$893,B13,Calculation_Data!$C$2:$C$893,"&gt;0")&amp;"/"&amp;C13&amp;" ("&amp;TEXT(COUNTIFS(Calculation_Data!$A$2:$A$893,A13,Calculation_Data!$B$2:$B$893,B13,Calculation_Data!$C$2:$C$893,"&gt;0")/C13,"0.0%")&amp;")")</x:f>
        <x:v>11/12 (91.7%)</x:v>
      </x:c>
      <x:c r="G13" t="n">
        <x:f>COUNTIFS(Calculation_Data!$A$2:$A$893,A13,Calculation_Data!$B$2:$B$893,B13,Calculation_Data!$C$2:$C$893,"&gt;0",Calculation_Data!$D$2:$D$893,"&gt;=0")</x:f>
        <x:v>11</x:v>
      </x:c>
      <x:c r="H13" s="8" t="n">
        <x:f>IF(G13=0,"",SUMIFS(Calculation_Data!$D$2:$D$893,Calculation_Data!$A$2:$A$893,A13,Calculation_Data!$B$2:$B$893,B13,Calculation_Data!$C$2:$C$893,"&gt;0")/G13)</x:f>
        <x:v>1.7272727272727273</x:v>
      </x:c>
      <x:c r="I13" t="str">
        <x:f>IF(G13=0,"",COUNTIFS(Calculation_Data!$A$2:$A$893,A13,Calculation_Data!$B$2:$B$893,B13,Calculation_Data!$C$2:$C$893,"&gt;0",Calculation_Data!$D$2:$D$893,"&gt;=3")&amp;"/"&amp;G13&amp;" ("&amp;TEXT(COUNTIFS(Calculation_Data!$A$2:$A$893,A13,Calculation_Data!$B$2:$B$893,B13,Calculation_Data!$C$2:$C$893,"&gt;0",Calculation_Data!$D$2:$D$893,"&gt;=3")/G13,"0.0%")&amp;")")</x:f>
        <x:v>3/11 (27.3%)</x:v>
      </x:c>
      <x:c r="J13" t="n">
        <x:f>IF(D13="","",1+COUNTIFS($A$2:$A$84,A13,$D$2:$D$84,"&gt;"&amp;D13))</x:f>
        <x:v>9</x:v>
      </x:c>
      <x:c r="K13" t="n">
        <x:f>IF(H13="","",1+COUNTIFS($A$2:$A$84,A13,$H$2:$H$84,"&gt;"&amp;H13))</x:f>
        <x:v>12</x:v>
      </x:c>
    </x:row>
    <x:row r="14">
      <x:c r="A14" s="5" t="str">
        <x:v>Reading &amp; Decoding Difficulties</x:v>
      </x:c>
      <x:c r="B14" s="5" t="str">
        <x:v>The amount of reading and writing required in software engineering can feel overwhelming.</x:v>
      </x:c>
      <x:c r="C14" t="n">
        <x:f>COUNTIFS(Calculation_Data!$A$2:$A$893,A14,Calculation_Data!$B$2:$B$893,B14,Calculation_Data!$C$2:$C$893,"&gt;=0")</x:f>
        <x:v>12</x:v>
      </x:c>
      <x:c r="D14" s="8" t="n">
        <x:f>IF(C14=0,"",SUMIFS(Calculation_Data!$C$2:$C$893,Calculation_Data!$A$2:$A$893,A14,Calculation_Data!$B$2:$B$893,B14)/C14)</x:f>
        <x:v>2.0833333333333335</x:v>
      </x:c>
      <x:c r="E14" t="str">
        <x:f>IF(C14=0,"",COUNTIFS(Calculation_Data!$A$2:$A$893,A14,Calculation_Data!$B$2:$B$893,B14,Calculation_Data!$C$2:$C$893,"&gt;=3")&amp;"/"&amp;C14&amp;" ("&amp;TEXT(COUNTIFS(Calculation_Data!$A$2:$A$893,A14,Calculation_Data!$B$2:$B$893,B14,Calculation_Data!$C$2:$C$893,"&gt;=3")/C14,"0.0%")&amp;")")</x:f>
        <x:v>4/12 (33.3%)</x:v>
      </x:c>
      <x:c r="F14" t="str">
        <x:f>IF(C14=0,"",COUNTIFS(Calculation_Data!$A$2:$A$893,A14,Calculation_Data!$B$2:$B$893,B14,Calculation_Data!$C$2:$C$893,"&gt;0")&amp;"/"&amp;C14&amp;" ("&amp;TEXT(COUNTIFS(Calculation_Data!$A$2:$A$893,A14,Calculation_Data!$B$2:$B$893,B14,Calculation_Data!$C$2:$C$893,"&gt;0")/C14,"0.0%")&amp;")")</x:f>
        <x:v>11/12 (91.7%)</x:v>
      </x:c>
      <x:c r="G14" t="n">
        <x:f>COUNTIFS(Calculation_Data!$A$2:$A$893,A14,Calculation_Data!$B$2:$B$893,B14,Calculation_Data!$C$2:$C$893,"&gt;0",Calculation_Data!$D$2:$D$893,"&gt;=0")</x:f>
        <x:v>11</x:v>
      </x:c>
      <x:c r="H14" s="8" t="n">
        <x:f>IF(G14=0,"",SUMIFS(Calculation_Data!$D$2:$D$893,Calculation_Data!$A$2:$A$893,A14,Calculation_Data!$B$2:$B$893,B14,Calculation_Data!$C$2:$C$893,"&gt;0")/G14)</x:f>
        <x:v>1.5454545454545454</x:v>
      </x:c>
      <x:c r="I14" t="str">
        <x:f>IF(G14=0,"",COUNTIFS(Calculation_Data!$A$2:$A$893,A14,Calculation_Data!$B$2:$B$893,B14,Calculation_Data!$C$2:$C$893,"&gt;0",Calculation_Data!$D$2:$D$893,"&gt;=3")&amp;"/"&amp;G14&amp;" ("&amp;TEXT(COUNTIFS(Calculation_Data!$A$2:$A$893,A14,Calculation_Data!$B$2:$B$893,B14,Calculation_Data!$C$2:$C$893,"&gt;0",Calculation_Data!$D$2:$D$893,"&gt;=3")/G14,"0.0%")&amp;")")</x:f>
        <x:v>3/11 (27.3%)</x:v>
      </x:c>
      <x:c r="J14" t="n">
        <x:f>IF(D14="","",1+COUNTIFS($A$2:$A$84,A14,$D$2:$D$84,"&gt;"&amp;D14))</x:f>
        <x:v>16</x:v>
      </x:c>
      <x:c r="K14" t="n">
        <x:f>IF(H14="","",1+COUNTIFS($A$2:$A$84,A14,$H$2:$H$84,"&gt;"&amp;H14))</x:f>
        <x:v>18</x:v>
      </x:c>
    </x:row>
    <x:row r="15">
      <x:c r="A15" s="5" t="str">
        <x:v>Reading &amp; Decoding Difficulties</x:v>
      </x:c>
      <x:c r="B15" s="5" t="str">
        <x:v>Written information often takes longer for me to read and understand.</x:v>
      </x:c>
      <x:c r="C15" t="n">
        <x:f>COUNTIFS(Calculation_Data!$A$2:$A$893,A15,Calculation_Data!$B$2:$B$893,B15,Calculation_Data!$C$2:$C$893,"&gt;=0")</x:f>
        <x:v>13</x:v>
      </x:c>
      <x:c r="D15" s="8" t="n">
        <x:f>IF(C15=0,"",SUMIFS(Calculation_Data!$C$2:$C$893,Calculation_Data!$A$2:$A$893,A15,Calculation_Data!$B$2:$B$893,B15)/C15)</x:f>
        <x:v>2.923076923076923</x:v>
      </x:c>
      <x:c r="E15" t="str">
        <x:f>IF(C15=0,"",COUNTIFS(Calculation_Data!$A$2:$A$893,A15,Calculation_Data!$B$2:$B$893,B15,Calculation_Data!$C$2:$C$893,"&gt;=3")&amp;"/"&amp;C15&amp;" ("&amp;TEXT(COUNTIFS(Calculation_Data!$A$2:$A$893,A15,Calculation_Data!$B$2:$B$893,B15,Calculation_Data!$C$2:$C$893,"&gt;=3")/C15,"0.0%")&amp;")")</x:f>
        <x:v>10/13 (76.9%)</x:v>
      </x:c>
      <x:c r="F15" t="str">
        <x:f>IF(C15=0,"",COUNTIFS(Calculation_Data!$A$2:$A$893,A15,Calculation_Data!$B$2:$B$893,B15,Calculation_Data!$C$2:$C$893,"&gt;0")&amp;"/"&amp;C15&amp;" ("&amp;TEXT(COUNTIFS(Calculation_Data!$A$2:$A$893,A15,Calculation_Data!$B$2:$B$893,B15,Calculation_Data!$C$2:$C$893,"&gt;0")/C15,"0.0%")&amp;")")</x:f>
        <x:v>13/13 (100.0%)</x:v>
      </x:c>
      <x:c r="G15" t="n">
        <x:f>COUNTIFS(Calculation_Data!$A$2:$A$893,A15,Calculation_Data!$B$2:$B$893,B15,Calculation_Data!$C$2:$C$893,"&gt;0",Calculation_Data!$D$2:$D$893,"&gt;=0")</x:f>
        <x:v>13</x:v>
      </x:c>
      <x:c r="H15" s="8" t="n">
        <x:f>IF(G15=0,"",SUMIFS(Calculation_Data!$D$2:$D$893,Calculation_Data!$A$2:$A$893,A15,Calculation_Data!$B$2:$B$893,B15,Calculation_Data!$C$2:$C$893,"&gt;0")/G15)</x:f>
        <x:v>2.3076923076923075</x:v>
      </x:c>
      <x:c r="I15" t="str">
        <x:f>IF(G15=0,"",COUNTIFS(Calculation_Data!$A$2:$A$893,A15,Calculation_Data!$B$2:$B$893,B15,Calculation_Data!$C$2:$C$893,"&gt;0",Calculation_Data!$D$2:$D$893,"&gt;=3")&amp;"/"&amp;G15&amp;" ("&amp;TEXT(COUNTIFS(Calculation_Data!$A$2:$A$893,A15,Calculation_Data!$B$2:$B$893,B15,Calculation_Data!$C$2:$C$893,"&gt;0",Calculation_Data!$D$2:$D$893,"&gt;=3")/G15,"0.0%")&amp;")")</x:f>
        <x:v>6/13 (46.2%)</x:v>
      </x:c>
      <x:c r="J15" t="n">
        <x:f>IF(D15="","",1+COUNTIFS($A$2:$A$84,A15,$D$2:$D$84,"&gt;"&amp;D15))</x:f>
        <x:v>2</x:v>
      </x:c>
      <x:c r="K15" t="n">
        <x:f>IF(H15="","",1+COUNTIFS($A$2:$A$84,A15,$H$2:$H$84,"&gt;"&amp;H15))</x:f>
        <x:v>4</x:v>
      </x:c>
    </x:row>
    <x:row r="16">
      <x:c r="A16" s="5" t="str">
        <x:v>Reading &amp; Decoding Difficulties</x:v>
      </x:c>
      <x:c r="B16" s="5" t="str">
        <x:v>Written instructions can be harder to understand than the code itself.</x:v>
      </x:c>
      <x:c r="C16" t="n">
        <x:f>COUNTIFS(Calculation_Data!$A$2:$A$893,A16,Calculation_Data!$B$2:$B$893,B16,Calculation_Data!$C$2:$C$893,"&gt;=0")</x:f>
        <x:v>11</x:v>
      </x:c>
      <x:c r="D16" s="8" t="n">
        <x:f>IF(C16=0,"",SUMIFS(Calculation_Data!$C$2:$C$893,Calculation_Data!$A$2:$A$893,A16,Calculation_Data!$B$2:$B$893,B16)/C16)</x:f>
        <x:v>2</x:v>
      </x:c>
      <x:c r="E16" t="str">
        <x:f>IF(C16=0,"",COUNTIFS(Calculation_Data!$A$2:$A$893,A16,Calculation_Data!$B$2:$B$893,B16,Calculation_Data!$C$2:$C$893,"&gt;=3")&amp;"/"&amp;C16&amp;" ("&amp;TEXT(COUNTIFS(Calculation_Data!$A$2:$A$893,A16,Calculation_Data!$B$2:$B$893,B16,Calculation_Data!$C$2:$C$893,"&gt;=3")/C16,"0.0%")&amp;")")</x:f>
        <x:v>6/11 (54.5%)</x:v>
      </x:c>
      <x:c r="F16" t="str">
        <x:f>IF(C16=0,"",COUNTIFS(Calculation_Data!$A$2:$A$893,A16,Calculation_Data!$B$2:$B$893,B16,Calculation_Data!$C$2:$C$893,"&gt;0")&amp;"/"&amp;C16&amp;" ("&amp;TEXT(COUNTIFS(Calculation_Data!$A$2:$A$893,A16,Calculation_Data!$B$2:$B$893,B16,Calculation_Data!$C$2:$C$893,"&gt;0")/C16,"0.0%")&amp;")")</x:f>
        <x:v>9/11 (81.8%)</x:v>
      </x:c>
      <x:c r="G16" t="n">
        <x:f>COUNTIFS(Calculation_Data!$A$2:$A$893,A16,Calculation_Data!$B$2:$B$893,B16,Calculation_Data!$C$2:$C$893,"&gt;0",Calculation_Data!$D$2:$D$893,"&gt;=0")</x:f>
        <x:v>9</x:v>
      </x:c>
      <x:c r="H16" s="8" t="n">
        <x:f>IF(G16=0,"",SUMIFS(Calculation_Data!$D$2:$D$893,Calculation_Data!$A$2:$A$893,A16,Calculation_Data!$B$2:$B$893,B16,Calculation_Data!$C$2:$C$893,"&gt;0")/G16)</x:f>
        <x:v>1.8888888888888888</x:v>
      </x:c>
      <x:c r="I16" t="str">
        <x:f>IF(G16=0,"",COUNTIFS(Calculation_Data!$A$2:$A$893,A16,Calculation_Data!$B$2:$B$893,B16,Calculation_Data!$C$2:$C$893,"&gt;0",Calculation_Data!$D$2:$D$893,"&gt;=3")&amp;"/"&amp;G16&amp;" ("&amp;TEXT(COUNTIFS(Calculation_Data!$A$2:$A$893,A16,Calculation_Data!$B$2:$B$893,B16,Calculation_Data!$C$2:$C$893,"&gt;0",Calculation_Data!$D$2:$D$893,"&gt;=3")/G16,"0.0%")&amp;")")</x:f>
        <x:v>3/9 (33.3%)</x:v>
      </x:c>
      <x:c r="J16" t="n">
        <x:f>IF(D16="","",1+COUNTIFS($A$2:$A$84,A16,$D$2:$D$84,"&gt;"&amp;D16))</x:f>
        <x:v>17</x:v>
      </x:c>
      <x:c r="K16" t="n">
        <x:f>IF(H16="","",1+COUNTIFS($A$2:$A$84,A16,$H$2:$H$84,"&gt;"&amp;H16))</x:f>
        <x:v>10</x:v>
      </x:c>
    </x:row>
    <x:row r="17">
      <x:c r="A17" s="5" t="str">
        <x:v>Reading &amp; Decoding Difficulties</x:v>
      </x:c>
      <x:c r="B17" s="5" t="str">
        <x:v>Symbols that look similar or long lines of text can be difficult for me to distinguish.</x:v>
      </x:c>
      <x:c r="C17" t="n">
        <x:f>COUNTIFS(Calculation_Data!$A$2:$A$893,A17,Calculation_Data!$B$2:$B$893,B17,Calculation_Data!$C$2:$C$893,"&gt;=0")</x:f>
        <x:v>10</x:v>
      </x:c>
      <x:c r="D17" s="8" t="n">
        <x:f>IF(C17=0,"",SUMIFS(Calculation_Data!$C$2:$C$893,Calculation_Data!$A$2:$A$893,A17,Calculation_Data!$B$2:$B$893,B17)/C17)</x:f>
        <x:v>2.4</x:v>
      </x:c>
      <x:c r="E17" t="str">
        <x:f>IF(C17=0,"",COUNTIFS(Calculation_Data!$A$2:$A$893,A17,Calculation_Data!$B$2:$B$893,B17,Calculation_Data!$C$2:$C$893,"&gt;=3")&amp;"/"&amp;C17&amp;" ("&amp;TEXT(COUNTIFS(Calculation_Data!$A$2:$A$893,A17,Calculation_Data!$B$2:$B$893,B17,Calculation_Data!$C$2:$C$893,"&gt;=3")/C17,"0.0%")&amp;")")</x:f>
        <x:v>5/10 (50.0%)</x:v>
      </x:c>
      <x:c r="F17" t="str">
        <x:f>IF(C17=0,"",COUNTIFS(Calculation_Data!$A$2:$A$893,A17,Calculation_Data!$B$2:$B$893,B17,Calculation_Data!$C$2:$C$893,"&gt;0")&amp;"/"&amp;C17&amp;" ("&amp;TEXT(COUNTIFS(Calculation_Data!$A$2:$A$893,A17,Calculation_Data!$B$2:$B$893,B17,Calculation_Data!$C$2:$C$893,"&gt;0")/C17,"0.0%")&amp;")")</x:f>
        <x:v>9/10 (90.0%)</x:v>
      </x:c>
      <x:c r="G17" t="n">
        <x:f>COUNTIFS(Calculation_Data!$A$2:$A$893,A17,Calculation_Data!$B$2:$B$893,B17,Calculation_Data!$C$2:$C$893,"&gt;0",Calculation_Data!$D$2:$D$893,"&gt;=0")</x:f>
        <x:v>9</x:v>
      </x:c>
      <x:c r="H17" s="8" t="n">
        <x:f>IF(G17=0,"",SUMIFS(Calculation_Data!$D$2:$D$893,Calculation_Data!$A$2:$A$893,A17,Calculation_Data!$B$2:$B$893,B17,Calculation_Data!$C$2:$C$893,"&gt;0")/G17)</x:f>
        <x:v>1.7777777777777777</x:v>
      </x:c>
      <x:c r="I17" t="str">
        <x:f>IF(G17=0,"",COUNTIFS(Calculation_Data!$A$2:$A$893,A17,Calculation_Data!$B$2:$B$893,B17,Calculation_Data!$C$2:$C$893,"&gt;0",Calculation_Data!$D$2:$D$893,"&gt;=3")&amp;"/"&amp;G17&amp;" ("&amp;TEXT(COUNTIFS(Calculation_Data!$A$2:$A$893,A17,Calculation_Data!$B$2:$B$893,B17,Calculation_Data!$C$2:$C$893,"&gt;0",Calculation_Data!$D$2:$D$893,"&gt;=3")/G17,"0.0%")&amp;")")</x:f>
        <x:v>3/9 (33.3%)</x:v>
      </x:c>
      <x:c r="J17" t="n">
        <x:f>IF(D17="","",1+COUNTIFS($A$2:$A$84,A17,$D$2:$D$84,"&gt;"&amp;D17))</x:f>
        <x:v>9</x:v>
      </x:c>
      <x:c r="K17" t="n">
        <x:f>IF(H17="","",1+COUNTIFS($A$2:$A$84,A17,$H$2:$H$84,"&gt;"&amp;H17))</x:f>
        <x:v>12</x:v>
      </x:c>
    </x:row>
    <x:row r="18">
      <x:c r="A18" s="5" t="str">
        <x:v>Reading &amp; Decoding Difficulties</x:v>
      </x:c>
      <x:c r="B18" s="5" t="str">
        <x:v>Writing documentation to communicate ideas clearly can be challenging.</x:v>
      </x:c>
      <x:c r="C18" t="n">
        <x:f>COUNTIFS(Calculation_Data!$A$2:$A$893,A18,Calculation_Data!$B$2:$B$893,B18,Calculation_Data!$C$2:$C$893,"&gt;=0")</x:f>
        <x:v>11</x:v>
      </x:c>
      <x:c r="D18" s="8" t="n">
        <x:f>IF(C18=0,"",SUMIFS(Calculation_Data!$C$2:$C$893,Calculation_Data!$A$2:$A$893,A18,Calculation_Data!$B$2:$B$893,B18)/C18)</x:f>
        <x:v>1.9090909090909092</x:v>
      </x:c>
      <x:c r="E18" t="str">
        <x:f>IF(C18=0,"",COUNTIFS(Calculation_Data!$A$2:$A$893,A18,Calculation_Data!$B$2:$B$893,B18,Calculation_Data!$C$2:$C$893,"&gt;=3")&amp;"/"&amp;C18&amp;" ("&amp;TEXT(COUNTIFS(Calculation_Data!$A$2:$A$893,A18,Calculation_Data!$B$2:$B$893,B18,Calculation_Data!$C$2:$C$893,"&gt;=3")/C18,"0.0%")&amp;")")</x:f>
        <x:v>3/11 (27.3%)</x:v>
      </x:c>
      <x:c r="F18" t="str">
        <x:f>IF(C18=0,"",COUNTIFS(Calculation_Data!$A$2:$A$893,A18,Calculation_Data!$B$2:$B$893,B18,Calculation_Data!$C$2:$C$893,"&gt;0")&amp;"/"&amp;C18&amp;" ("&amp;TEXT(COUNTIFS(Calculation_Data!$A$2:$A$893,A18,Calculation_Data!$B$2:$B$893,B18,Calculation_Data!$C$2:$C$893,"&gt;0")/C18,"0.0%")&amp;")")</x:f>
        <x:v>9/11 (81.8%)</x:v>
      </x:c>
      <x:c r="G18" t="n">
        <x:f>COUNTIFS(Calculation_Data!$A$2:$A$893,A18,Calculation_Data!$B$2:$B$893,B18,Calculation_Data!$C$2:$C$893,"&gt;0",Calculation_Data!$D$2:$D$893,"&gt;=0")</x:f>
        <x:v>9</x:v>
      </x:c>
      <x:c r="H18" s="8" t="n">
        <x:f>IF(G18=0,"",SUMIFS(Calculation_Data!$D$2:$D$893,Calculation_Data!$A$2:$A$893,A18,Calculation_Data!$B$2:$B$893,B18,Calculation_Data!$C$2:$C$893,"&gt;0")/G18)</x:f>
        <x:v>1.2222222222222223</x:v>
      </x:c>
      <x:c r="I18" t="str">
        <x:f>IF(G18=0,"",COUNTIFS(Calculation_Data!$A$2:$A$893,A18,Calculation_Data!$B$2:$B$893,B18,Calculation_Data!$C$2:$C$893,"&gt;0",Calculation_Data!$D$2:$D$893,"&gt;=3")&amp;"/"&amp;G18&amp;" ("&amp;TEXT(COUNTIFS(Calculation_Data!$A$2:$A$893,A18,Calculation_Data!$B$2:$B$893,B18,Calculation_Data!$C$2:$C$893,"&gt;0",Calculation_Data!$D$2:$D$893,"&gt;=3")/G18,"0.0%")&amp;")")</x:f>
        <x:v>1/9 (11.1%)</x:v>
      </x:c>
      <x:c r="J18" t="n">
        <x:f>IF(D18="","",1+COUNTIFS($A$2:$A$84,A18,$D$2:$D$84,"&gt;"&amp;D18))</x:f>
        <x:v>20</x:v>
      </x:c>
      <x:c r="K18" t="n">
        <x:f>IF(H18="","",1+COUNTIFS($A$2:$A$84,A18,$H$2:$H$84,"&gt;"&amp;H18))</x:f>
        <x:v>22</x:v>
      </x:c>
    </x:row>
    <x:row r="19">
      <x:c r="A19" s="5" t="str">
        <x:v>Reading &amp; Decoding Difficulties</x:v>
      </x:c>
      <x:c r="B19" s="5" t="str">
        <x:v>When reading unfamiliar text, it can be difficult to recognise the correct spelling of words.</x:v>
      </x:c>
      <x:c r="C19" t="n">
        <x:f>COUNTIFS(Calculation_Data!$A$2:$A$893,A19,Calculation_Data!$B$2:$B$893,B19,Calculation_Data!$C$2:$C$893,"&gt;=0")</x:f>
        <x:v>11</x:v>
      </x:c>
      <x:c r="D19" s="8" t="n">
        <x:f>IF(C19=0,"",SUMIFS(Calculation_Data!$C$2:$C$893,Calculation_Data!$A$2:$A$893,A19,Calculation_Data!$B$2:$B$893,B19)/C19)</x:f>
        <x:v>2.8181818181818183</x:v>
      </x:c>
      <x:c r="E19" t="str">
        <x:f>IF(C19=0,"",COUNTIFS(Calculation_Data!$A$2:$A$893,A19,Calculation_Data!$B$2:$B$893,B19,Calculation_Data!$C$2:$C$893,"&gt;=3")&amp;"/"&amp;C19&amp;" ("&amp;TEXT(COUNTIFS(Calculation_Data!$A$2:$A$893,A19,Calculation_Data!$B$2:$B$893,B19,Calculation_Data!$C$2:$C$893,"&gt;=3")/C19,"0.0%")&amp;")")</x:f>
        <x:v>6/11 (54.5%)</x:v>
      </x:c>
      <x:c r="F19" t="str">
        <x:f>IF(C19=0,"",COUNTIFS(Calculation_Data!$A$2:$A$893,A19,Calculation_Data!$B$2:$B$893,B19,Calculation_Data!$C$2:$C$893,"&gt;0")&amp;"/"&amp;C19&amp;" ("&amp;TEXT(COUNTIFS(Calculation_Data!$A$2:$A$893,A19,Calculation_Data!$B$2:$B$893,B19,Calculation_Data!$C$2:$C$893,"&gt;0")/C19,"0.0%")&amp;")")</x:f>
        <x:v>11/11 (100.0%)</x:v>
      </x:c>
      <x:c r="G19" t="n">
        <x:f>COUNTIFS(Calculation_Data!$A$2:$A$893,A19,Calculation_Data!$B$2:$B$893,B19,Calculation_Data!$C$2:$C$893,"&gt;0",Calculation_Data!$D$2:$D$893,"&gt;=0")</x:f>
        <x:v>11</x:v>
      </x:c>
      <x:c r="H19" s="8" t="n">
        <x:f>IF(G19=0,"",SUMIFS(Calculation_Data!$D$2:$D$893,Calculation_Data!$A$2:$A$893,A19,Calculation_Data!$B$2:$B$893,B19,Calculation_Data!$C$2:$C$893,"&gt;0")/G19)</x:f>
        <x:v>1.7272727272727273</x:v>
      </x:c>
      <x:c r="I19" t="str">
        <x:f>IF(G19=0,"",COUNTIFS(Calculation_Data!$A$2:$A$893,A19,Calculation_Data!$B$2:$B$893,B19,Calculation_Data!$C$2:$C$893,"&gt;0",Calculation_Data!$D$2:$D$893,"&gt;=3")&amp;"/"&amp;G19&amp;" ("&amp;TEXT(COUNTIFS(Calculation_Data!$A$2:$A$893,A19,Calculation_Data!$B$2:$B$893,B19,Calculation_Data!$C$2:$C$893,"&gt;0",Calculation_Data!$D$2:$D$893,"&gt;=3")/G19,"0.0%")&amp;")")</x:f>
        <x:v>3/11 (27.3%)</x:v>
      </x:c>
      <x:c r="J19" t="n">
        <x:f>IF(D19="","",1+COUNTIFS($A$2:$A$84,A19,$D$2:$D$84,"&gt;"&amp;D19))</x:f>
        <x:v>3</x:v>
      </x:c>
      <x:c r="K19" t="n">
        <x:f>IF(H19="","",1+COUNTIFS($A$2:$A$84,A19,$H$2:$H$84,"&gt;"&amp;H19))</x:f>
        <x:v>15</x:v>
      </x:c>
    </x:row>
    <x:row r="20">
      <x:c r="A20" s="5" t="str">
        <x:v>Reading &amp; Decoding Difficulties</x:v>
      </x:c>
      <x:c r="B20" s="5" t="str">
        <x:v>Keeping up with spoken explanations, especially when numbers are mentioned, can be difficult.</x:v>
      </x:c>
      <x:c r="C20" t="n">
        <x:f>COUNTIFS(Calculation_Data!$A$2:$A$893,A20,Calculation_Data!$B$2:$B$893,B20,Calculation_Data!$C$2:$C$893,"&gt;=0")</x:f>
        <x:v>13</x:v>
      </x:c>
      <x:c r="D20" s="8" t="n">
        <x:f>IF(C20=0,"",SUMIFS(Calculation_Data!$C$2:$C$893,Calculation_Data!$A$2:$A$893,A20,Calculation_Data!$B$2:$B$893,B20)/C20)</x:f>
        <x:v>2.3076923076923075</x:v>
      </x:c>
      <x:c r="E20" t="str">
        <x:f>IF(C20=0,"",COUNTIFS(Calculation_Data!$A$2:$A$893,A20,Calculation_Data!$B$2:$B$893,B20,Calculation_Data!$C$2:$C$893,"&gt;=3")&amp;"/"&amp;C20&amp;" ("&amp;TEXT(COUNTIFS(Calculation_Data!$A$2:$A$893,A20,Calculation_Data!$B$2:$B$893,B20,Calculation_Data!$C$2:$C$893,"&gt;=3")/C20,"0.0%")&amp;")")</x:f>
        <x:v>6/13 (46.2%)</x:v>
      </x:c>
      <x:c r="F20" t="str">
        <x:f>IF(C20=0,"",COUNTIFS(Calculation_Data!$A$2:$A$893,A20,Calculation_Data!$B$2:$B$893,B20,Calculation_Data!$C$2:$C$893,"&gt;0")&amp;"/"&amp;C20&amp;" ("&amp;TEXT(COUNTIFS(Calculation_Data!$A$2:$A$893,A20,Calculation_Data!$B$2:$B$893,B20,Calculation_Data!$C$2:$C$893,"&gt;0")/C20,"0.0%")&amp;")")</x:f>
        <x:v>11/13 (84.6%)</x:v>
      </x:c>
      <x:c r="G20" t="n">
        <x:f>COUNTIFS(Calculation_Data!$A$2:$A$893,A20,Calculation_Data!$B$2:$B$893,B20,Calculation_Data!$C$2:$C$893,"&gt;0",Calculation_Data!$D$2:$D$893,"&gt;=0")</x:f>
        <x:v>11</x:v>
      </x:c>
      <x:c r="H20" s="8" t="n">
        <x:f>IF(G20=0,"",SUMIFS(Calculation_Data!$D$2:$D$893,Calculation_Data!$A$2:$A$893,A20,Calculation_Data!$B$2:$B$893,B20,Calculation_Data!$C$2:$C$893,"&gt;0")/G20)</x:f>
        <x:v>2.1818181818181817</x:v>
      </x:c>
      <x:c r="I20" t="str">
        <x:f>IF(G20=0,"",COUNTIFS(Calculation_Data!$A$2:$A$893,A20,Calculation_Data!$B$2:$B$893,B20,Calculation_Data!$C$2:$C$893,"&gt;0",Calculation_Data!$D$2:$D$893,"&gt;=3")&amp;"/"&amp;G20&amp;" ("&amp;TEXT(COUNTIFS(Calculation_Data!$A$2:$A$893,A20,Calculation_Data!$B$2:$B$893,B20,Calculation_Data!$C$2:$C$893,"&gt;0",Calculation_Data!$D$2:$D$893,"&gt;=3")/G20,"0.0%")&amp;")")</x:f>
        <x:v>4/11 (36.4%)</x:v>
      </x:c>
      <x:c r="J20" t="n">
        <x:f>IF(D20="","",1+COUNTIFS($A$2:$A$84,A20,$D$2:$D$84,"&gt;"&amp;D20))</x:f>
        <x:v>11</x:v>
      </x:c>
      <x:c r="K20" t="n">
        <x:f>IF(H20="","",1+COUNTIFS($A$2:$A$84,A20,$H$2:$H$84,"&gt;"&amp;H20))</x:f>
        <x:v>6</x:v>
      </x:c>
    </x:row>
    <x:row r="21">
      <x:c r="A21" s="5" t="str">
        <x:v>Reading &amp; Decoding Difficulties</x:v>
      </x:c>
      <x:c r="B21" s="5" t="str">
        <x:v>Tasks sometimes take longer because reading and processing information slows me down.</x:v>
      </x:c>
      <x:c r="C21" t="n">
        <x:f>COUNTIFS(Calculation_Data!$A$2:$A$893,A21,Calculation_Data!$B$2:$B$893,B21,Calculation_Data!$C$2:$C$893,"&gt;=0")</x:f>
        <x:v>11</x:v>
      </x:c>
      <x:c r="D21" s="8" t="n">
        <x:f>IF(C21=0,"",SUMIFS(Calculation_Data!$C$2:$C$893,Calculation_Data!$A$2:$A$893,A21,Calculation_Data!$B$2:$B$893,B21)/C21)</x:f>
        <x:v>2.4545454545454546</x:v>
      </x:c>
      <x:c r="E21" t="str">
        <x:f>IF(C21=0,"",COUNTIFS(Calculation_Data!$A$2:$A$893,A21,Calculation_Data!$B$2:$B$893,B21,Calculation_Data!$C$2:$C$893,"&gt;=3")&amp;"/"&amp;C21&amp;" ("&amp;TEXT(COUNTIFS(Calculation_Data!$A$2:$A$893,A21,Calculation_Data!$B$2:$B$893,B21,Calculation_Data!$C$2:$C$893,"&gt;=3")/C21,"0.0%")&amp;")")</x:f>
        <x:v>6/11 (54.5%)</x:v>
      </x:c>
      <x:c r="F21" t="str">
        <x:f>IF(C21=0,"",COUNTIFS(Calculation_Data!$A$2:$A$893,A21,Calculation_Data!$B$2:$B$893,B21,Calculation_Data!$C$2:$C$893,"&gt;0")&amp;"/"&amp;C21&amp;" ("&amp;TEXT(COUNTIFS(Calculation_Data!$A$2:$A$893,A21,Calculation_Data!$B$2:$B$893,B21,Calculation_Data!$C$2:$C$893,"&gt;0")/C21,"0.0%")&amp;")")</x:f>
        <x:v>9/11 (81.8%)</x:v>
      </x:c>
      <x:c r="G21" t="n">
        <x:f>COUNTIFS(Calculation_Data!$A$2:$A$893,A21,Calculation_Data!$B$2:$B$893,B21,Calculation_Data!$C$2:$C$893,"&gt;0",Calculation_Data!$D$2:$D$893,"&gt;=0")</x:f>
        <x:v>9</x:v>
      </x:c>
      <x:c r="H21" s="8" t="n">
        <x:f>IF(G21=0,"",SUMIFS(Calculation_Data!$D$2:$D$893,Calculation_Data!$A$2:$A$893,A21,Calculation_Data!$B$2:$B$893,B21,Calculation_Data!$C$2:$C$893,"&gt;0")/G21)</x:f>
        <x:v>1.7777777777777777</x:v>
      </x:c>
      <x:c r="I21" t="str">
        <x:f>IF(G21=0,"",COUNTIFS(Calculation_Data!$A$2:$A$893,A21,Calculation_Data!$B$2:$B$893,B21,Calculation_Data!$C$2:$C$893,"&gt;0",Calculation_Data!$D$2:$D$893,"&gt;=3")&amp;"/"&amp;G21&amp;" ("&amp;TEXT(COUNTIFS(Calculation_Data!$A$2:$A$893,A21,Calculation_Data!$B$2:$B$893,B21,Calculation_Data!$C$2:$C$893,"&gt;0",Calculation_Data!$D$2:$D$893,"&gt;=3")/G21,"0.0%")&amp;")")</x:f>
        <x:v>2/9 (22.2%)</x:v>
      </x:c>
      <x:c r="J21" t="n">
        <x:f>IF(D21="","",1+COUNTIFS($A$2:$A$84,A21,$D$2:$D$84,"&gt;"&amp;D21))</x:f>
        <x:v>7</x:v>
      </x:c>
      <x:c r="K21" t="n">
        <x:f>IF(H21="","",1+COUNTIFS($A$2:$A$84,A21,$H$2:$H$84,"&gt;"&amp;H21))</x:f>
        <x:v>12</x:v>
      </x:c>
    </x:row>
    <x:row r="22">
      <x:c r="A22" s="5" t="str">
        <x:v>Reading &amp; Decoding Difficulties</x:v>
      </x:c>
      <x:c r="B22" s="5" t="str">
        <x:v>Timed coding challenges can be difficult because the instructions must be read quickly.</x:v>
      </x:c>
      <x:c r="C22" t="n">
        <x:f>COUNTIFS(Calculation_Data!$A$2:$A$893,A22,Calculation_Data!$B$2:$B$893,B22,Calculation_Data!$C$2:$C$893,"&gt;=0")</x:f>
        <x:v>10</x:v>
      </x:c>
      <x:c r="D22" s="8" t="n">
        <x:f>IF(C22=0,"",SUMIFS(Calculation_Data!$C$2:$C$893,Calculation_Data!$A$2:$A$893,A22,Calculation_Data!$B$2:$B$893,B22)/C22)</x:f>
        <x:v>2.6</x:v>
      </x:c>
      <x:c r="E22" t="str">
        <x:f>IF(C22=0,"",COUNTIFS(Calculation_Data!$A$2:$A$893,A22,Calculation_Data!$B$2:$B$893,B22,Calculation_Data!$C$2:$C$893,"&gt;=3")&amp;"/"&amp;C22&amp;" ("&amp;TEXT(COUNTIFS(Calculation_Data!$A$2:$A$893,A22,Calculation_Data!$B$2:$B$893,B22,Calculation_Data!$C$2:$C$893,"&gt;=3")/C22,"0.0%")&amp;")")</x:f>
        <x:v>7/10 (70.0%)</x:v>
      </x:c>
      <x:c r="F22" t="str">
        <x:f>IF(C22=0,"",COUNTIFS(Calculation_Data!$A$2:$A$893,A22,Calculation_Data!$B$2:$B$893,B22,Calculation_Data!$C$2:$C$893,"&gt;0")&amp;"/"&amp;C22&amp;" ("&amp;TEXT(COUNTIFS(Calculation_Data!$A$2:$A$893,A22,Calculation_Data!$B$2:$B$893,B22,Calculation_Data!$C$2:$C$893,"&gt;0")/C22,"0.0%")&amp;")")</x:f>
        <x:v>7/10 (70.0%)</x:v>
      </x:c>
      <x:c r="G22" t="n">
        <x:f>COUNTIFS(Calculation_Data!$A$2:$A$893,A22,Calculation_Data!$B$2:$B$893,B22,Calculation_Data!$C$2:$C$893,"&gt;0",Calculation_Data!$D$2:$D$893,"&gt;=0")</x:f>
        <x:v>7</x:v>
      </x:c>
      <x:c r="H22" s="8" t="n">
        <x:f>IF(G22=0,"",SUMIFS(Calculation_Data!$D$2:$D$893,Calculation_Data!$A$2:$A$893,A22,Calculation_Data!$B$2:$B$893,B22,Calculation_Data!$C$2:$C$893,"&gt;0")/G22)</x:f>
        <x:v>2.4285714285714284</x:v>
      </x:c>
      <x:c r="I22" t="str">
        <x:f>IF(G22=0,"",COUNTIFS(Calculation_Data!$A$2:$A$893,A22,Calculation_Data!$B$2:$B$893,B22,Calculation_Data!$C$2:$C$893,"&gt;0",Calculation_Data!$D$2:$D$893,"&gt;=3")&amp;"/"&amp;G22&amp;" ("&amp;TEXT(COUNTIFS(Calculation_Data!$A$2:$A$893,A22,Calculation_Data!$B$2:$B$893,B22,Calculation_Data!$C$2:$C$893,"&gt;0",Calculation_Data!$D$2:$D$893,"&gt;=3")/G22,"0.0%")&amp;")")</x:f>
        <x:v>4/7 (57.1%)</x:v>
      </x:c>
      <x:c r="J22" t="n">
        <x:f>IF(D22="","",1+COUNTIFS($A$2:$A$84,A22,$D$2:$D$84,"&gt;"&amp;D22))</x:f>
        <x:v>6</x:v>
      </x:c>
      <x:c r="K22" t="n">
        <x:f>IF(H22="","",1+COUNTIFS($A$2:$A$84,A22,$H$2:$H$84,"&gt;"&amp;H22))</x:f>
        <x:v>1</x:v>
      </x:c>
    </x:row>
    <x:row r="23">
      <x:c r="A23" s="5" t="str">
        <x:v>Reading &amp; Decoding Difficulties</x:v>
      </x:c>
      <x:c r="B23" s="5" t="str">
        <x:v>Small syntax errors are sometimes easy for me to miss when reading code.</x:v>
      </x:c>
      <x:c r="C23" t="n">
        <x:f>COUNTIFS(Calculation_Data!$A$2:$A$893,A23,Calculation_Data!$B$2:$B$893,B23,Calculation_Data!$C$2:$C$893,"&gt;=0")</x:f>
        <x:v>11</x:v>
      </x:c>
      <x:c r="D23" s="8" t="n">
        <x:f>IF(C23=0,"",SUMIFS(Calculation_Data!$C$2:$C$893,Calculation_Data!$A$2:$A$893,A23,Calculation_Data!$B$2:$B$893,B23)/C23)</x:f>
        <x:v>3.090909090909091</x:v>
      </x:c>
      <x:c r="E23" t="str">
        <x:f>IF(C23=0,"",COUNTIFS(Calculation_Data!$A$2:$A$893,A23,Calculation_Data!$B$2:$B$893,B23,Calculation_Data!$C$2:$C$893,"&gt;=3")&amp;"/"&amp;C23&amp;" ("&amp;TEXT(COUNTIFS(Calculation_Data!$A$2:$A$893,A23,Calculation_Data!$B$2:$B$893,B23,Calculation_Data!$C$2:$C$893,"&gt;=3")/C23,"0.0%")&amp;")")</x:f>
        <x:v>7/11 (63.6%)</x:v>
      </x:c>
      <x:c r="F23" t="str">
        <x:f>IF(C23=0,"",COUNTIFS(Calculation_Data!$A$2:$A$893,A23,Calculation_Data!$B$2:$B$893,B23,Calculation_Data!$C$2:$C$893,"&gt;0")&amp;"/"&amp;C23&amp;" ("&amp;TEXT(COUNTIFS(Calculation_Data!$A$2:$A$893,A23,Calculation_Data!$B$2:$B$893,B23,Calculation_Data!$C$2:$C$893,"&gt;0")/C23,"0.0%")&amp;")")</x:f>
        <x:v>11/11 (100.0%)</x:v>
      </x:c>
      <x:c r="G23" t="n">
        <x:f>COUNTIFS(Calculation_Data!$A$2:$A$893,A23,Calculation_Data!$B$2:$B$893,B23,Calculation_Data!$C$2:$C$893,"&gt;0",Calculation_Data!$D$2:$D$893,"&gt;=0")</x:f>
        <x:v>11</x:v>
      </x:c>
      <x:c r="H23" s="8" t="n">
        <x:f>IF(G23=0,"",SUMIFS(Calculation_Data!$D$2:$D$893,Calculation_Data!$A$2:$A$893,A23,Calculation_Data!$B$2:$B$893,B23,Calculation_Data!$C$2:$C$893,"&gt;0")/G23)</x:f>
        <x:v>2.3636363636363638</x:v>
      </x:c>
      <x:c r="I23" t="str">
        <x:f>IF(G23=0,"",COUNTIFS(Calculation_Data!$A$2:$A$893,A23,Calculation_Data!$B$2:$B$893,B23,Calculation_Data!$C$2:$C$893,"&gt;0",Calculation_Data!$D$2:$D$893,"&gt;=3")&amp;"/"&amp;G23&amp;" ("&amp;TEXT(COUNTIFS(Calculation_Data!$A$2:$A$893,A23,Calculation_Data!$B$2:$B$893,B23,Calculation_Data!$C$2:$C$893,"&gt;0",Calculation_Data!$D$2:$D$893,"&gt;=3")/G23,"0.0%")&amp;")")</x:f>
        <x:v>6/11 (54.5%)</x:v>
      </x:c>
      <x:c r="J23" t="n">
        <x:f>IF(D23="","",1+COUNTIFS($A$2:$A$84,A23,$D$2:$D$84,"&gt;"&amp;D23))</x:f>
        <x:v>1</x:v>
      </x:c>
      <x:c r="K23" t="n">
        <x:f>IF(H23="","",1+COUNTIFS($A$2:$A$84,A23,$H$2:$H$84,"&gt;"&amp;H23))</x:f>
        <x:v>3</x:v>
      </x:c>
    </x:row>
    <x:row r="24">
      <x:c r="A24" s="5" t="str">
        <x:v>Reading &amp; Decoding Difficulties</x:v>
      </x:c>
      <x:c r="B24" s="5" t="str">
        <x:v>Long or highly technical documentation, such as API documentation, can be difficult to follow.</x:v>
      </x:c>
      <x:c r="C24" t="n">
        <x:f>COUNTIFS(Calculation_Data!$A$2:$A$893,A24,Calculation_Data!$B$2:$B$893,B24,Calculation_Data!$C$2:$C$893,"&gt;=0")</x:f>
        <x:v>12</x:v>
      </x:c>
      <x:c r="D24" s="8" t="n">
        <x:f>IF(C24=0,"",SUMIFS(Calculation_Data!$C$2:$C$893,Calculation_Data!$A$2:$A$893,A24,Calculation_Data!$B$2:$B$893,B24)/C24)</x:f>
        <x:v>2.4166666666666665</x:v>
      </x:c>
      <x:c r="E24" t="str">
        <x:f>IF(C24=0,"",COUNTIFS(Calculation_Data!$A$2:$A$893,A24,Calculation_Data!$B$2:$B$893,B24,Calculation_Data!$C$2:$C$893,"&gt;=3")&amp;"/"&amp;C24&amp;" ("&amp;TEXT(COUNTIFS(Calculation_Data!$A$2:$A$893,A24,Calculation_Data!$B$2:$B$893,B24,Calculation_Data!$C$2:$C$893,"&gt;=3")/C24,"0.0%")&amp;")")</x:f>
        <x:v>5/12 (41.7%)</x:v>
      </x:c>
      <x:c r="F24" t="str">
        <x:f>IF(C24=0,"",COUNTIFS(Calculation_Data!$A$2:$A$893,A24,Calculation_Data!$B$2:$B$893,B24,Calculation_Data!$C$2:$C$893,"&gt;0")&amp;"/"&amp;C24&amp;" ("&amp;TEXT(COUNTIFS(Calculation_Data!$A$2:$A$893,A24,Calculation_Data!$B$2:$B$893,B24,Calculation_Data!$C$2:$C$893,"&gt;0")/C24,"0.0%")&amp;")")</x:f>
        <x:v>12/12 (100.0%)</x:v>
      </x:c>
      <x:c r="G24" t="n">
        <x:f>COUNTIFS(Calculation_Data!$A$2:$A$893,A24,Calculation_Data!$B$2:$B$893,B24,Calculation_Data!$C$2:$C$893,"&gt;0",Calculation_Data!$D$2:$D$893,"&gt;=0")</x:f>
        <x:v>12</x:v>
      </x:c>
      <x:c r="H24" s="8" t="n">
        <x:f>IF(G24=0,"",SUMIFS(Calculation_Data!$D$2:$D$893,Calculation_Data!$A$2:$A$893,A24,Calculation_Data!$B$2:$B$893,B24,Calculation_Data!$C$2:$C$893,"&gt;0")/G24)</x:f>
        <x:v>1.6666666666666667</x:v>
      </x:c>
      <x:c r="I24" t="str">
        <x:f>IF(G24=0,"",COUNTIFS(Calculation_Data!$A$2:$A$893,A24,Calculation_Data!$B$2:$B$893,B24,Calculation_Data!$C$2:$C$893,"&gt;0",Calculation_Data!$D$2:$D$893,"&gt;=3")&amp;"/"&amp;G24&amp;" ("&amp;TEXT(COUNTIFS(Calculation_Data!$A$2:$A$893,A24,Calculation_Data!$B$2:$B$893,B24,Calculation_Data!$C$2:$C$893,"&gt;0",Calculation_Data!$D$2:$D$893,"&gt;=3")/G24,"0.0%")&amp;")")</x:f>
        <x:v>2/12 (16.7%)</x:v>
      </x:c>
      <x:c r="J24" t="n">
        <x:f>IF(D24="","",1+COUNTIFS($A$2:$A$84,A24,$D$2:$D$84,"&gt;"&amp;D24))</x:f>
        <x:v>8</x:v>
      </x:c>
      <x:c r="K24" t="n">
        <x:f>IF(H24="","",1+COUNTIFS($A$2:$A$84,A24,$H$2:$H$84,"&gt;"&amp;H24))</x:f>
        <x:v>16</x:v>
      </x:c>
    </x:row>
    <x:row r="25">
      <x:c r="A25" s="5" t="str">
        <x:v>Reading &amp; Decoding Difficulties</x:v>
      </x:c>
      <x:c r="B25" s="5" t="str">
        <x:v>Reading code line by line can be tiring and easy to lose track of.</x:v>
      </x:c>
      <x:c r="C25" t="n">
        <x:f>COUNTIFS(Calculation_Data!$A$2:$A$893,A25,Calculation_Data!$B$2:$B$893,B25,Calculation_Data!$C$2:$C$893,"&gt;=0")</x:f>
        <x:v>12</x:v>
      </x:c>
      <x:c r="D25" s="8" t="n">
        <x:f>IF(C25=0,"",SUMIFS(Calculation_Data!$C$2:$C$893,Calculation_Data!$A$2:$A$893,A25,Calculation_Data!$B$2:$B$893,B25)/C25)</x:f>
        <x:v>2.3333333333333335</x:v>
      </x:c>
      <x:c r="E25" t="str">
        <x:f>IF(C25=0,"",COUNTIFS(Calculation_Data!$A$2:$A$893,A25,Calculation_Data!$B$2:$B$893,B25,Calculation_Data!$C$2:$C$893,"&gt;=3")&amp;"/"&amp;C25&amp;" ("&amp;TEXT(COUNTIFS(Calculation_Data!$A$2:$A$893,A25,Calculation_Data!$B$2:$B$893,B25,Calculation_Data!$C$2:$C$893,"&gt;=3")/C25,"0.0%")&amp;")")</x:f>
        <x:v>6/12 (50.0%)</x:v>
      </x:c>
      <x:c r="F25" t="str">
        <x:f>IF(C25=0,"",COUNTIFS(Calculation_Data!$A$2:$A$893,A25,Calculation_Data!$B$2:$B$893,B25,Calculation_Data!$C$2:$C$893,"&gt;0")&amp;"/"&amp;C25&amp;" ("&amp;TEXT(COUNTIFS(Calculation_Data!$A$2:$A$893,A25,Calculation_Data!$B$2:$B$893,B25,Calculation_Data!$C$2:$C$893,"&gt;0")/C25,"0.0%")&amp;")")</x:f>
        <x:v>10/12 (83.3%)</x:v>
      </x:c>
      <x:c r="G25" t="n">
        <x:f>COUNTIFS(Calculation_Data!$A$2:$A$893,A25,Calculation_Data!$B$2:$B$893,B25,Calculation_Data!$C$2:$C$893,"&gt;0",Calculation_Data!$D$2:$D$893,"&gt;=0")</x:f>
        <x:v>10</x:v>
      </x:c>
      <x:c r="H25" s="8" t="n">
        <x:f>IF(G25=0,"",SUMIFS(Calculation_Data!$D$2:$D$893,Calculation_Data!$A$2:$A$893,A25,Calculation_Data!$B$2:$B$893,B25,Calculation_Data!$C$2:$C$893,"&gt;0")/G25)</x:f>
        <x:v>2.1</x:v>
      </x:c>
      <x:c r="I25" t="str">
        <x:f>IF(G25=0,"",COUNTIFS(Calculation_Data!$A$2:$A$893,A25,Calculation_Data!$B$2:$B$893,B25,Calculation_Data!$C$2:$C$893,"&gt;0",Calculation_Data!$D$2:$D$893,"&gt;=3")&amp;"/"&amp;G25&amp;" ("&amp;TEXT(COUNTIFS(Calculation_Data!$A$2:$A$893,A25,Calculation_Data!$B$2:$B$893,B25,Calculation_Data!$C$2:$C$893,"&gt;0",Calculation_Data!$D$2:$D$893,"&gt;=3")/G25,"0.0%")&amp;")")</x:f>
        <x:v>2/10 (20.0%)</x:v>
      </x:c>
      <x:c r="J25" t="n">
        <x:f>IF(D25="","",1+COUNTIFS($A$2:$A$84,A25,$D$2:$D$84,"&gt;"&amp;D25))</x:f>
        <x:v>10</x:v>
      </x:c>
      <x:c r="K25" t="n">
        <x:f>IF(H25="","",1+COUNTIFS($A$2:$A$84,A25,$H$2:$H$84,"&gt;"&amp;H25))</x:f>
        <x:v>7</x:v>
      </x:c>
    </x:row>
    <x:row r="26">
      <x:c r="A26" s="5" t="str">
        <x:v>Reading &amp; Decoding Difficulties</x:v>
      </x:c>
      <x:c r="B26" s="5" t="str">
        <x:v>Learning new programming languages can be harder because of the reading load involved.</x:v>
      </x:c>
      <x:c r="C26" t="n">
        <x:f>COUNTIFS(Calculation_Data!$A$2:$A$893,A26,Calculation_Data!$B$2:$B$893,B26,Calculation_Data!$C$2:$C$893,"&gt;=0")</x:f>
        <x:v>10</x:v>
      </x:c>
      <x:c r="D26" s="8" t="n">
        <x:f>IF(C26=0,"",SUMIFS(Calculation_Data!$C$2:$C$893,Calculation_Data!$A$2:$A$893,A26,Calculation_Data!$B$2:$B$893,B26)/C26)</x:f>
        <x:v>2.1</x:v>
      </x:c>
      <x:c r="E26" t="str">
        <x:f>IF(C26=0,"",COUNTIFS(Calculation_Data!$A$2:$A$893,A26,Calculation_Data!$B$2:$B$893,B26,Calculation_Data!$C$2:$C$893,"&gt;=3")&amp;"/"&amp;C26&amp;" ("&amp;TEXT(COUNTIFS(Calculation_Data!$A$2:$A$893,A26,Calculation_Data!$B$2:$B$893,B26,Calculation_Data!$C$2:$C$893,"&gt;=3")/C26,"0.0%")&amp;")")</x:f>
        <x:v>4/10 (40.0%)</x:v>
      </x:c>
      <x:c r="F26" t="str">
        <x:f>IF(C26=0,"",COUNTIFS(Calculation_Data!$A$2:$A$893,A26,Calculation_Data!$B$2:$B$893,B26,Calculation_Data!$C$2:$C$893,"&gt;0")&amp;"/"&amp;C26&amp;" ("&amp;TEXT(COUNTIFS(Calculation_Data!$A$2:$A$893,A26,Calculation_Data!$B$2:$B$893,B26,Calculation_Data!$C$2:$C$893,"&gt;0")/C26,"0.0%")&amp;")")</x:f>
        <x:v>8/10 (80.0%)</x:v>
      </x:c>
      <x:c r="G26" t="n">
        <x:f>COUNTIFS(Calculation_Data!$A$2:$A$893,A26,Calculation_Data!$B$2:$B$893,B26,Calculation_Data!$C$2:$C$893,"&gt;0",Calculation_Data!$D$2:$D$893,"&gt;=0")</x:f>
        <x:v>8</x:v>
      </x:c>
      <x:c r="H26" s="8" t="n">
        <x:f>IF(G26=0,"",SUMIFS(Calculation_Data!$D$2:$D$893,Calculation_Data!$A$2:$A$893,A26,Calculation_Data!$B$2:$B$893,B26,Calculation_Data!$C$2:$C$893,"&gt;0")/G26)</x:f>
        <x:v>2.375</x:v>
      </x:c>
      <x:c r="I26" t="str">
        <x:f>IF(G26=0,"",COUNTIFS(Calculation_Data!$A$2:$A$893,A26,Calculation_Data!$B$2:$B$893,B26,Calculation_Data!$C$2:$C$893,"&gt;0",Calculation_Data!$D$2:$D$893,"&gt;=3")&amp;"/"&amp;G26&amp;" ("&amp;TEXT(COUNTIFS(Calculation_Data!$A$2:$A$893,A26,Calculation_Data!$B$2:$B$893,B26,Calculation_Data!$C$2:$C$893,"&gt;0",Calculation_Data!$D$2:$D$893,"&gt;=3")/G26,"0.0%")&amp;")")</x:f>
        <x:v>4/8 (50.0%)</x:v>
      </x:c>
      <x:c r="J26" t="n">
        <x:f>IF(D26="","",1+COUNTIFS($A$2:$A$84,A26,$D$2:$D$84,"&gt;"&amp;D26))</x:f>
        <x:v>15</x:v>
      </x:c>
      <x:c r="K26" t="n">
        <x:f>IF(H26="","",1+COUNTIFS($A$2:$A$84,A26,$H$2:$H$84,"&gt;"&amp;H26))</x:f>
        <x:v>2</x:v>
      </x:c>
    </x:row>
    <x:row r="27">
      <x:c r="A27" s="5" t="str">
        <x:v>Reading &amp; Decoding Difficulties</x:v>
      </x:c>
      <x:c r="B27" s="5" t="str">
        <x:v>Unclear or vague instructions can easily lead to mistakes.</x:v>
      </x:c>
      <x:c r="C27" t="n">
        <x:f>COUNTIFS(Calculation_Data!$A$2:$A$893,A27,Calculation_Data!$B$2:$B$893,B27,Calculation_Data!$C$2:$C$893,"&gt;=0")</x:f>
        <x:v>12</x:v>
      </x:c>
      <x:c r="D27" s="8" t="n">
        <x:f>IF(C27=0,"",SUMIFS(Calculation_Data!$C$2:$C$893,Calculation_Data!$A$2:$A$893,A27,Calculation_Data!$B$2:$B$893,B27)/C27)</x:f>
        <x:v>2.6666666666666665</x:v>
      </x:c>
      <x:c r="E27" t="str">
        <x:f>IF(C27=0,"",COUNTIFS(Calculation_Data!$A$2:$A$893,A27,Calculation_Data!$B$2:$B$893,B27,Calculation_Data!$C$2:$C$893,"&gt;=3")&amp;"/"&amp;C27&amp;" ("&amp;TEXT(COUNTIFS(Calculation_Data!$A$2:$A$893,A27,Calculation_Data!$B$2:$B$893,B27,Calculation_Data!$C$2:$C$893,"&gt;=3")/C27,"0.0%")&amp;")")</x:f>
        <x:v>8/12 (66.7%)</x:v>
      </x:c>
      <x:c r="F27" t="str">
        <x:f>IF(C27=0,"",COUNTIFS(Calculation_Data!$A$2:$A$893,A27,Calculation_Data!$B$2:$B$893,B27,Calculation_Data!$C$2:$C$893,"&gt;0")&amp;"/"&amp;C27&amp;" ("&amp;TEXT(COUNTIFS(Calculation_Data!$A$2:$A$893,A27,Calculation_Data!$B$2:$B$893,B27,Calculation_Data!$C$2:$C$893,"&gt;0")/C27,"0.0%")&amp;")")</x:f>
        <x:v>11/12 (91.7%)</x:v>
      </x:c>
      <x:c r="G27" t="n">
        <x:f>COUNTIFS(Calculation_Data!$A$2:$A$893,A27,Calculation_Data!$B$2:$B$893,B27,Calculation_Data!$C$2:$C$893,"&gt;0",Calculation_Data!$D$2:$D$893,"&gt;=0")</x:f>
        <x:v>11</x:v>
      </x:c>
      <x:c r="H27" s="8" t="n">
        <x:f>IF(G27=0,"",SUMIFS(Calculation_Data!$D$2:$D$893,Calculation_Data!$A$2:$A$893,A27,Calculation_Data!$B$2:$B$893,B27,Calculation_Data!$C$2:$C$893,"&gt;0")/G27)</x:f>
        <x:v>2.272727272727273</x:v>
      </x:c>
      <x:c r="I27" t="str">
        <x:f>IF(G27=0,"",COUNTIFS(Calculation_Data!$A$2:$A$893,A27,Calculation_Data!$B$2:$B$893,B27,Calculation_Data!$C$2:$C$893,"&gt;0",Calculation_Data!$D$2:$D$893,"&gt;=3")&amp;"/"&amp;G27&amp;" ("&amp;TEXT(COUNTIFS(Calculation_Data!$A$2:$A$893,A27,Calculation_Data!$B$2:$B$893,B27,Calculation_Data!$C$2:$C$893,"&gt;0",Calculation_Data!$D$2:$D$893,"&gt;=3")/G27,"0.0%")&amp;")")</x:f>
        <x:v>4/11 (36.4%)</x:v>
      </x:c>
      <x:c r="J27" t="n">
        <x:f>IF(D27="","",1+COUNTIFS($A$2:$A$84,A27,$D$2:$D$84,"&gt;"&amp;D27))</x:f>
        <x:v>4</x:v>
      </x:c>
      <x:c r="K27" t="n">
        <x:f>IF(H27="","",1+COUNTIFS($A$2:$A$84,A27,$H$2:$H$84,"&gt;"&amp;H27))</x:f>
        <x:v>5</x:v>
      </x:c>
    </x:row>
    <x:row r="28">
      <x:c r="A28" s="5" t="str">
        <x:v>Reading &amp; Decoding Difficulties</x:v>
      </x:c>
      <x:c r="B28" s="5" t="str">
        <x:v>Scanning through code and quickly recognising symbols can sometimes be difficult.</x:v>
      </x:c>
      <x:c r="C28" t="n">
        <x:f>COUNTIFS(Calculation_Data!$A$2:$A$893,A28,Calculation_Data!$B$2:$B$893,B28,Calculation_Data!$C$2:$C$893,"&gt;=0")</x:f>
        <x:v>9</x:v>
      </x:c>
      <x:c r="D28" s="8" t="n">
        <x:f>IF(C28=0,"",SUMIFS(Calculation_Data!$C$2:$C$893,Calculation_Data!$A$2:$A$893,A28,Calculation_Data!$B$2:$B$893,B28)/C28)</x:f>
        <x:v>2.6666666666666665</x:v>
      </x:c>
      <x:c r="E28" t="str">
        <x:f>IF(C28=0,"",COUNTIFS(Calculation_Data!$A$2:$A$893,A28,Calculation_Data!$B$2:$B$893,B28,Calculation_Data!$C$2:$C$893,"&gt;=3")&amp;"/"&amp;C28&amp;" ("&amp;TEXT(COUNTIFS(Calculation_Data!$A$2:$A$893,A28,Calculation_Data!$B$2:$B$893,B28,Calculation_Data!$C$2:$C$893,"&gt;=3")/C28,"0.0%")&amp;")")</x:f>
        <x:v>5/9 (55.6%)</x:v>
      </x:c>
      <x:c r="F28" t="str">
        <x:f>IF(C28=0,"",COUNTIFS(Calculation_Data!$A$2:$A$893,A28,Calculation_Data!$B$2:$B$893,B28,Calculation_Data!$C$2:$C$893,"&gt;0")&amp;"/"&amp;C28&amp;" ("&amp;TEXT(COUNTIFS(Calculation_Data!$A$2:$A$893,A28,Calculation_Data!$B$2:$B$893,B28,Calculation_Data!$C$2:$C$893,"&gt;0")/C28,"0.0%")&amp;")")</x:f>
        <x:v>8/9 (88.9%)</x:v>
      </x:c>
      <x:c r="G28" t="n">
        <x:f>COUNTIFS(Calculation_Data!$A$2:$A$893,A28,Calculation_Data!$B$2:$B$893,B28,Calculation_Data!$C$2:$C$893,"&gt;0",Calculation_Data!$D$2:$D$893,"&gt;=0")</x:f>
        <x:v>8</x:v>
      </x:c>
      <x:c r="H28" s="8" t="n">
        <x:f>IF(G28=0,"",SUMIFS(Calculation_Data!$D$2:$D$893,Calculation_Data!$A$2:$A$893,A28,Calculation_Data!$B$2:$B$893,B28,Calculation_Data!$C$2:$C$893,"&gt;0")/G28)</x:f>
        <x:v>1.875</x:v>
      </x:c>
      <x:c r="I28" t="str">
        <x:f>IF(G28=0,"",COUNTIFS(Calculation_Data!$A$2:$A$893,A28,Calculation_Data!$B$2:$B$893,B28,Calculation_Data!$C$2:$C$893,"&gt;0",Calculation_Data!$D$2:$D$893,"&gt;=3")&amp;"/"&amp;G28&amp;" ("&amp;TEXT(COUNTIFS(Calculation_Data!$A$2:$A$893,A28,Calculation_Data!$B$2:$B$893,B28,Calculation_Data!$C$2:$C$893,"&gt;0",Calculation_Data!$D$2:$D$893,"&gt;=3")/G28,"0.0%")&amp;")")</x:f>
        <x:v>3/8 (37.5%)</x:v>
      </x:c>
      <x:c r="J28" t="n">
        <x:f>IF(D28="","",1+COUNTIFS($A$2:$A$84,A28,$D$2:$D$84,"&gt;"&amp;D28))</x:f>
        <x:v>4</x:v>
      </x:c>
      <x:c r="K28" t="n">
        <x:f>IF(H28="","",1+COUNTIFS($A$2:$A$84,A28,$H$2:$H$84,"&gt;"&amp;H28))</x:f>
        <x:v>11</x:v>
      </x:c>
    </x:row>
    <x:row r="29">
      <x:c r="A29" s="5" t="str">
        <x:v>Reading &amp; Decoding Difficulties</x:v>
      </x:c>
      <x:c r="B29" s="5" t="str">
        <x:v>Turning diagrams or visual models into written code can take extra effort.</x:v>
      </x:c>
      <x:c r="C29" t="n">
        <x:f>COUNTIFS(Calculation_Data!$A$2:$A$893,A29,Calculation_Data!$B$2:$B$893,B29,Calculation_Data!$C$2:$C$893,"&gt;=0")</x:f>
        <x:v>11</x:v>
      </x:c>
      <x:c r="D29" s="8" t="n">
        <x:f>IF(C29=0,"",SUMIFS(Calculation_Data!$C$2:$C$893,Calculation_Data!$A$2:$A$893,A29,Calculation_Data!$B$2:$B$893,B29)/C29)</x:f>
        <x:v>1.4545454545454546</x:v>
      </x:c>
      <x:c r="E29" t="str">
        <x:f>IF(C29=0,"",COUNTIFS(Calculation_Data!$A$2:$A$893,A29,Calculation_Data!$B$2:$B$893,B29,Calculation_Data!$C$2:$C$893,"&gt;=3")&amp;"/"&amp;C29&amp;" ("&amp;TEXT(COUNTIFS(Calculation_Data!$A$2:$A$893,A29,Calculation_Data!$B$2:$B$893,B29,Calculation_Data!$C$2:$C$893,"&gt;=3")/C29,"0.0%")&amp;")")</x:f>
        <x:v>3/11 (27.3%)</x:v>
      </x:c>
      <x:c r="F29" t="str">
        <x:f>IF(C29=0,"",COUNTIFS(Calculation_Data!$A$2:$A$893,A29,Calculation_Data!$B$2:$B$893,B29,Calculation_Data!$C$2:$C$893,"&gt;0")&amp;"/"&amp;C29&amp;" ("&amp;TEXT(COUNTIFS(Calculation_Data!$A$2:$A$893,A29,Calculation_Data!$B$2:$B$893,B29,Calculation_Data!$C$2:$C$893,"&gt;0")/C29,"0.0%")&amp;")")</x:f>
        <x:v>8/11 (72.7%)</x:v>
      </x:c>
      <x:c r="G29" t="n">
        <x:f>COUNTIFS(Calculation_Data!$A$2:$A$893,A29,Calculation_Data!$B$2:$B$893,B29,Calculation_Data!$C$2:$C$893,"&gt;0",Calculation_Data!$D$2:$D$893,"&gt;=0")</x:f>
        <x:v>8</x:v>
      </x:c>
      <x:c r="H29" s="8" t="n">
        <x:f>IF(G29=0,"",SUMIFS(Calculation_Data!$D$2:$D$893,Calculation_Data!$A$2:$A$893,A29,Calculation_Data!$B$2:$B$893,B29,Calculation_Data!$C$2:$C$893,"&gt;0")/G29)</x:f>
        <x:v>1.5</x:v>
      </x:c>
      <x:c r="I29" t="str">
        <x:f>IF(G29=0,"",COUNTIFS(Calculation_Data!$A$2:$A$893,A29,Calculation_Data!$B$2:$B$893,B29,Calculation_Data!$C$2:$C$893,"&gt;0",Calculation_Data!$D$2:$D$893,"&gt;=3")&amp;"/"&amp;G29&amp;" ("&amp;TEXT(COUNTIFS(Calculation_Data!$A$2:$A$893,A29,Calculation_Data!$B$2:$B$893,B29,Calculation_Data!$C$2:$C$893,"&gt;0",Calculation_Data!$D$2:$D$893,"&gt;=3")/G29,"0.0%")&amp;")")</x:f>
        <x:v>3/8 (37.5%)</x:v>
      </x:c>
      <x:c r="J29" t="n">
        <x:f>IF(D29="","",1+COUNTIFS($A$2:$A$84,A29,$D$2:$D$84,"&gt;"&amp;D29))</x:f>
        <x:v>24</x:v>
      </x:c>
      <x:c r="K29" t="n">
        <x:f>IF(H29="","",1+COUNTIFS($A$2:$A$84,A29,$H$2:$H$84,"&gt;"&amp;H29))</x:f>
        <x:v>20</x:v>
      </x:c>
    </x:row>
    <x:row r="30">
      <x:c r="A30" s="5" t="str">
        <x:v>Reading &amp; Decoding Difficulties</x:v>
      </x:c>
      <x:c r="B30" s="5" t="str">
        <x:v>Multi-step instructions that involve numbers can be hard to follow.</x:v>
      </x:c>
      <x:c r="C30" t="n">
        <x:f>COUNTIFS(Calculation_Data!$A$2:$A$893,A30,Calculation_Data!$B$2:$B$893,B30,Calculation_Data!$C$2:$C$893,"&gt;=0")</x:f>
        <x:v>12</x:v>
      </x:c>
      <x:c r="D30" s="8" t="n">
        <x:f>IF(C30=0,"",SUMIFS(Calculation_Data!$C$2:$C$893,Calculation_Data!$A$2:$A$893,A30,Calculation_Data!$B$2:$B$893,B30)/C30)</x:f>
        <x:v>1.9166666666666667</x:v>
      </x:c>
      <x:c r="E30" t="str">
        <x:f>IF(C30=0,"",COUNTIFS(Calculation_Data!$A$2:$A$893,A30,Calculation_Data!$B$2:$B$893,B30,Calculation_Data!$C$2:$C$893,"&gt;=3")&amp;"/"&amp;C30&amp;" ("&amp;TEXT(COUNTIFS(Calculation_Data!$A$2:$A$893,A30,Calculation_Data!$B$2:$B$893,B30,Calculation_Data!$C$2:$C$893,"&gt;=3")/C30,"0.0%")&amp;")")</x:f>
        <x:v>4/12 (33.3%)</x:v>
      </x:c>
      <x:c r="F30" t="str">
        <x:f>IF(C30=0,"",COUNTIFS(Calculation_Data!$A$2:$A$893,A30,Calculation_Data!$B$2:$B$893,B30,Calculation_Data!$C$2:$C$893,"&gt;0")&amp;"/"&amp;C30&amp;" ("&amp;TEXT(COUNTIFS(Calculation_Data!$A$2:$A$893,A30,Calculation_Data!$B$2:$B$893,B30,Calculation_Data!$C$2:$C$893,"&gt;0")/C30,"0.0%")&amp;")")</x:f>
        <x:v>9/12 (75.0%)</x:v>
      </x:c>
      <x:c r="G30" t="n">
        <x:f>COUNTIFS(Calculation_Data!$A$2:$A$893,A30,Calculation_Data!$B$2:$B$893,B30,Calculation_Data!$C$2:$C$893,"&gt;0",Calculation_Data!$D$2:$D$893,"&gt;=0")</x:f>
        <x:v>9</x:v>
      </x:c>
      <x:c r="H30" s="8" t="n">
        <x:f>IF(G30=0,"",SUMIFS(Calculation_Data!$D$2:$D$893,Calculation_Data!$A$2:$A$893,A30,Calculation_Data!$B$2:$B$893,B30,Calculation_Data!$C$2:$C$893,"&gt;0")/G30)</x:f>
        <x:v>1.5555555555555556</x:v>
      </x:c>
      <x:c r="I30" t="str">
        <x:f>IF(G30=0,"",COUNTIFS(Calculation_Data!$A$2:$A$893,A30,Calculation_Data!$B$2:$B$893,B30,Calculation_Data!$C$2:$C$893,"&gt;0",Calculation_Data!$D$2:$D$893,"&gt;=3")&amp;"/"&amp;G30&amp;" ("&amp;TEXT(COUNTIFS(Calculation_Data!$A$2:$A$893,A30,Calculation_Data!$B$2:$B$893,B30,Calculation_Data!$C$2:$C$893,"&gt;0",Calculation_Data!$D$2:$D$893,"&gt;=3")/G30,"0.0%")&amp;")")</x:f>
        <x:v>3/9 (33.3%)</x:v>
      </x:c>
      <x:c r="J30" t="n">
        <x:f>IF(D30="","",1+COUNTIFS($A$2:$A$84,A30,$D$2:$D$84,"&gt;"&amp;D30))</x:f>
        <x:v>19</x:v>
      </x:c>
      <x:c r="K30" t="n">
        <x:f>IF(H30="","",1+COUNTIFS($A$2:$A$84,A30,$H$2:$H$84,"&gt;"&amp;H30))</x:f>
        <x:v>17</x:v>
      </x:c>
    </x:row>
    <x:row r="31">
      <x:c r="A31" s="5" t="str">
        <x:v>Reading &amp; Decoding Difficulties</x:v>
      </x:c>
      <x:c r="B31" s="5" t="str">
        <x:v>Reading complex explanations sometimes leads to confusion or misunderstanding.</x:v>
      </x:c>
      <x:c r="C31" t="n">
        <x:f>COUNTIFS(Calculation_Data!$A$2:$A$893,A31,Calculation_Data!$B$2:$B$893,B31,Calculation_Data!$C$2:$C$893,"&gt;=0")</x:f>
        <x:v>11</x:v>
      </x:c>
      <x:c r="D31" s="8" t="n">
        <x:f>IF(C31=0,"",SUMIFS(Calculation_Data!$C$2:$C$893,Calculation_Data!$A$2:$A$893,A31,Calculation_Data!$B$2:$B$893,B31)/C31)</x:f>
        <x:v>2.1818181818181817</x:v>
      </x:c>
      <x:c r="E31" t="str">
        <x:f>IF(C31=0,"",COUNTIFS(Calculation_Data!$A$2:$A$893,A31,Calculation_Data!$B$2:$B$893,B31,Calculation_Data!$C$2:$C$893,"&gt;=3")&amp;"/"&amp;C31&amp;" ("&amp;TEXT(COUNTIFS(Calculation_Data!$A$2:$A$893,A31,Calculation_Data!$B$2:$B$893,B31,Calculation_Data!$C$2:$C$893,"&gt;=3")/C31,"0.0%")&amp;")")</x:f>
        <x:v>5/11 (45.5%)</x:v>
      </x:c>
      <x:c r="F31" t="str">
        <x:f>IF(C31=0,"",COUNTIFS(Calculation_Data!$A$2:$A$893,A31,Calculation_Data!$B$2:$B$893,B31,Calculation_Data!$C$2:$C$893,"&gt;0")&amp;"/"&amp;C31&amp;" ("&amp;TEXT(COUNTIFS(Calculation_Data!$A$2:$A$893,A31,Calculation_Data!$B$2:$B$893,B31,Calculation_Data!$C$2:$C$893,"&gt;0")/C31,"0.0%")&amp;")")</x:f>
        <x:v>10/11 (90.9%)</x:v>
      </x:c>
      <x:c r="G31" t="n">
        <x:f>COUNTIFS(Calculation_Data!$A$2:$A$893,A31,Calculation_Data!$B$2:$B$893,B31,Calculation_Data!$C$2:$C$893,"&gt;0",Calculation_Data!$D$2:$D$893,"&gt;=0")</x:f>
        <x:v>10</x:v>
      </x:c>
      <x:c r="H31" s="8" t="n">
        <x:f>IF(G31=0,"",SUMIFS(Calculation_Data!$D$2:$D$893,Calculation_Data!$A$2:$A$893,A31,Calculation_Data!$B$2:$B$893,B31,Calculation_Data!$C$2:$C$893,"&gt;0")/G31)</x:f>
        <x:v>1.9</x:v>
      </x:c>
      <x:c r="I31" t="str">
        <x:f>IF(G31=0,"",COUNTIFS(Calculation_Data!$A$2:$A$893,A31,Calculation_Data!$B$2:$B$893,B31,Calculation_Data!$C$2:$C$893,"&gt;0",Calculation_Data!$D$2:$D$893,"&gt;=3")&amp;"/"&amp;G31&amp;" ("&amp;TEXT(COUNTIFS(Calculation_Data!$A$2:$A$893,A31,Calculation_Data!$B$2:$B$893,B31,Calculation_Data!$C$2:$C$893,"&gt;0",Calculation_Data!$D$2:$D$893,"&gt;=3")/G31,"0.0%")&amp;")")</x:f>
        <x:v>4/10 (40.0%)</x:v>
      </x:c>
      <x:c r="J31" t="n">
        <x:f>IF(D31="","",1+COUNTIFS($A$2:$A$84,A31,$D$2:$D$84,"&gt;"&amp;D31))</x:f>
        <x:v>14</x:v>
      </x:c>
      <x:c r="K31" t="n">
        <x:f>IF(H31="","",1+COUNTIFS($A$2:$A$84,A31,$H$2:$H$84,"&gt;"&amp;H31))</x:f>
        <x:v>9</x:v>
      </x:c>
    </x:row>
    <x:row r="32">
      <x:c r="A32" s="5" t="str">
        <x:v>Reading &amp; Decoding Difficulties</x:v>
      </x:c>
      <x:c r="B32" s="5" t="str">
        <x:v>Making changes to data structures can be challenging when the code is hard to read.</x:v>
      </x:c>
      <x:c r="C32" t="n">
        <x:f>COUNTIFS(Calculation_Data!$A$2:$A$893,A32,Calculation_Data!$B$2:$B$893,B32,Calculation_Data!$C$2:$C$893,"&gt;=0")</x:f>
        <x:v>12</x:v>
      </x:c>
      <x:c r="D32" s="8" t="n">
        <x:f>IF(C32=0,"",SUMIFS(Calculation_Data!$C$2:$C$893,Calculation_Data!$A$2:$A$893,A32,Calculation_Data!$B$2:$B$893,B32)/C32)</x:f>
        <x:v>1.75</x:v>
      </x:c>
      <x:c r="E32" t="str">
        <x:f>IF(C32=0,"",COUNTIFS(Calculation_Data!$A$2:$A$893,A32,Calculation_Data!$B$2:$B$893,B32,Calculation_Data!$C$2:$C$893,"&gt;=3")&amp;"/"&amp;C32&amp;" ("&amp;TEXT(COUNTIFS(Calculation_Data!$A$2:$A$893,A32,Calculation_Data!$B$2:$B$893,B32,Calculation_Data!$C$2:$C$893,"&gt;=3")/C32,"0.0%")&amp;")")</x:f>
        <x:v>1/12 (8.3%)</x:v>
      </x:c>
      <x:c r="F32" t="str">
        <x:f>IF(C32=0,"",COUNTIFS(Calculation_Data!$A$2:$A$893,A32,Calculation_Data!$B$2:$B$893,B32,Calculation_Data!$C$2:$C$893,"&gt;0")&amp;"/"&amp;C32&amp;" ("&amp;TEXT(COUNTIFS(Calculation_Data!$A$2:$A$893,A32,Calculation_Data!$B$2:$B$893,B32,Calculation_Data!$C$2:$C$893,"&gt;0")/C32,"0.0%")&amp;")")</x:f>
        <x:v>12/12 (100.0%)</x:v>
      </x:c>
      <x:c r="G32" t="n">
        <x:f>COUNTIFS(Calculation_Data!$A$2:$A$893,A32,Calculation_Data!$B$2:$B$893,B32,Calculation_Data!$C$2:$C$893,"&gt;0",Calculation_Data!$D$2:$D$893,"&gt;=0")</x:f>
        <x:v>12</x:v>
      </x:c>
      <x:c r="H32" s="8" t="n">
        <x:f>IF(G32=0,"",SUMIFS(Calculation_Data!$D$2:$D$893,Calculation_Data!$A$2:$A$893,A32,Calculation_Data!$B$2:$B$893,B32,Calculation_Data!$C$2:$C$893,"&gt;0")/G32)</x:f>
        <x:v>1.1666666666666667</x:v>
      </x:c>
      <x:c r="I32" t="str">
        <x:f>IF(G32=0,"",COUNTIFS(Calculation_Data!$A$2:$A$893,A32,Calculation_Data!$B$2:$B$893,B32,Calculation_Data!$C$2:$C$893,"&gt;0",Calculation_Data!$D$2:$D$893,"&gt;=3")&amp;"/"&amp;G32&amp;" ("&amp;TEXT(COUNTIFS(Calculation_Data!$A$2:$A$893,A32,Calculation_Data!$B$2:$B$893,B32,Calculation_Data!$C$2:$C$893,"&gt;0",Calculation_Data!$D$2:$D$893,"&gt;=3")/G32,"0.0%")&amp;")")</x:f>
        <x:v>1/12 (8.3%)</x:v>
      </x:c>
      <x:c r="J32" t="n">
        <x:f>IF(D32="","",1+COUNTIFS($A$2:$A$84,A32,$D$2:$D$84,"&gt;"&amp;D32))</x:f>
        <x:v>22</x:v>
      </x:c>
      <x:c r="K32" t="n">
        <x:f>IF(H32="","",1+COUNTIFS($A$2:$A$84,A32,$H$2:$H$84,"&gt;"&amp;H32))</x:f>
        <x:v>23</x:v>
      </x:c>
    </x:row>
    <x:row r="33">
      <x:c r="A33" s="5" t="str">
        <x:v>Reading &amp; Decoding Difficulties</x:v>
      </x:c>
      <x:c r="B33" s="5" t="str">
        <x:v>Similar characters in SQL or programming languages can sometimes be misread.</x:v>
      </x:c>
      <x:c r="C33" t="n">
        <x:f>COUNTIFS(Calculation_Data!$A$2:$A$893,A33,Calculation_Data!$B$2:$B$893,B33,Calculation_Data!$C$2:$C$893,"&gt;=0")</x:f>
        <x:v>10</x:v>
      </x:c>
      <x:c r="D33" s="8" t="n">
        <x:f>IF(C33=0,"",SUMIFS(Calculation_Data!$C$2:$C$893,Calculation_Data!$A$2:$A$893,A33,Calculation_Data!$B$2:$B$893,B33)/C33)</x:f>
        <x:v>1.7</x:v>
      </x:c>
      <x:c r="E33" t="str">
        <x:f>IF(C33=0,"",COUNTIFS(Calculation_Data!$A$2:$A$893,A33,Calculation_Data!$B$2:$B$893,B33,Calculation_Data!$C$2:$C$893,"&gt;=3")&amp;"/"&amp;C33&amp;" ("&amp;TEXT(COUNTIFS(Calculation_Data!$A$2:$A$893,A33,Calculation_Data!$B$2:$B$893,B33,Calculation_Data!$C$2:$C$893,"&gt;=3")/C33,"0.0%")&amp;")")</x:f>
        <x:v>4/10 (40.0%)</x:v>
      </x:c>
      <x:c r="F33" t="str">
        <x:f>IF(C33=0,"",COUNTIFS(Calculation_Data!$A$2:$A$893,A33,Calculation_Data!$B$2:$B$893,B33,Calculation_Data!$C$2:$C$893,"&gt;0")&amp;"/"&amp;C33&amp;" ("&amp;TEXT(COUNTIFS(Calculation_Data!$A$2:$A$893,A33,Calculation_Data!$B$2:$B$893,B33,Calculation_Data!$C$2:$C$893,"&gt;0")/C33,"0.0%")&amp;")")</x:f>
        <x:v>7/10 (70.0%)</x:v>
      </x:c>
      <x:c r="G33" t="n">
        <x:f>COUNTIFS(Calculation_Data!$A$2:$A$893,A33,Calculation_Data!$B$2:$B$893,B33,Calculation_Data!$C$2:$C$893,"&gt;0",Calculation_Data!$D$2:$D$893,"&gt;=0")</x:f>
        <x:v>7</x:v>
      </x:c>
      <x:c r="H33" s="8" t="n">
        <x:f>IF(G33=0,"",SUMIFS(Calculation_Data!$D$2:$D$893,Calculation_Data!$A$2:$A$893,A33,Calculation_Data!$B$2:$B$893,B33,Calculation_Data!$C$2:$C$893,"&gt;0")/G33)</x:f>
        <x:v>1.2857142857142858</x:v>
      </x:c>
      <x:c r="I33" t="str">
        <x:f>IF(G33=0,"",COUNTIFS(Calculation_Data!$A$2:$A$893,A33,Calculation_Data!$B$2:$B$893,B33,Calculation_Data!$C$2:$C$893,"&gt;0",Calculation_Data!$D$2:$D$893,"&gt;=3")&amp;"/"&amp;G33&amp;" ("&amp;TEXT(COUNTIFS(Calculation_Data!$A$2:$A$893,A33,Calculation_Data!$B$2:$B$893,B33,Calculation_Data!$C$2:$C$893,"&gt;0",Calculation_Data!$D$2:$D$893,"&gt;=3")/G33,"0.0%")&amp;")")</x:f>
        <x:v>0/7 (0.0%)</x:v>
      </x:c>
      <x:c r="J33" t="n">
        <x:f>IF(D33="","",1+COUNTIFS($A$2:$A$84,A33,$D$2:$D$84,"&gt;"&amp;D33))</x:f>
        <x:v>23</x:v>
      </x:c>
      <x:c r="K33" t="n">
        <x:f>IF(H33="","",1+COUNTIFS($A$2:$A$84,A33,$H$2:$H$84,"&gt;"&amp;H33))</x:f>
        <x:v>21</x:v>
      </x:c>
    </x:row>
    <x:row r="34">
      <x:c r="A34" s="5" t="str">
        <x:v>Reading &amp; Decoding Difficulties</x:v>
      </x:c>
      <x:c r="B34" s="5" t="str">
        <x:v>Working with unfamiliar or complex code can require extra effort to understand.</x:v>
      </x:c>
      <x:c r="C34" t="n">
        <x:f>COUNTIFS(Calculation_Data!$A$2:$A$893,A34,Calculation_Data!$B$2:$B$893,B34,Calculation_Data!$C$2:$C$893,"&gt;=0")</x:f>
        <x:v>11</x:v>
      </x:c>
      <x:c r="D34" s="8" t="n">
        <x:f>IF(C34=0,"",SUMIFS(Calculation_Data!$C$2:$C$893,Calculation_Data!$A$2:$A$893,A34,Calculation_Data!$B$2:$B$893,B34)/C34)</x:f>
        <x:v>2.272727272727273</x:v>
      </x:c>
      <x:c r="E34" t="str">
        <x:f>IF(C34=0,"",COUNTIFS(Calculation_Data!$A$2:$A$893,A34,Calculation_Data!$B$2:$B$893,B34,Calculation_Data!$C$2:$C$893,"&gt;=3")&amp;"/"&amp;C34&amp;" ("&amp;TEXT(COUNTIFS(Calculation_Data!$A$2:$A$893,A34,Calculation_Data!$B$2:$B$893,B34,Calculation_Data!$C$2:$C$893,"&gt;=3")/C34,"0.0%")&amp;")")</x:f>
        <x:v>7/11 (63.6%)</x:v>
      </x:c>
      <x:c r="F34" t="str">
        <x:f>IF(C34=0,"",COUNTIFS(Calculation_Data!$A$2:$A$893,A34,Calculation_Data!$B$2:$B$893,B34,Calculation_Data!$C$2:$C$893,"&gt;0")&amp;"/"&amp;C34&amp;" ("&amp;TEXT(COUNTIFS(Calculation_Data!$A$2:$A$893,A34,Calculation_Data!$B$2:$B$893,B34,Calculation_Data!$C$2:$C$893,"&gt;0")/C34,"0.0%")&amp;")")</x:f>
        <x:v>10/11 (90.9%)</x:v>
      </x:c>
      <x:c r="G34" t="n">
        <x:f>COUNTIFS(Calculation_Data!$A$2:$A$893,A34,Calculation_Data!$B$2:$B$893,B34,Calculation_Data!$C$2:$C$893,"&gt;0",Calculation_Data!$D$2:$D$893,"&gt;=0")</x:f>
        <x:v>10</x:v>
      </x:c>
      <x:c r="H34" s="8" t="n">
        <x:f>IF(G34=0,"",SUMIFS(Calculation_Data!$D$2:$D$893,Calculation_Data!$A$2:$A$893,A34,Calculation_Data!$B$2:$B$893,B34,Calculation_Data!$C$2:$C$893,"&gt;0")/G34)</x:f>
        <x:v>2</x:v>
      </x:c>
      <x:c r="I34" t="str">
        <x:f>IF(G34=0,"",COUNTIFS(Calculation_Data!$A$2:$A$893,A34,Calculation_Data!$B$2:$B$893,B34,Calculation_Data!$C$2:$C$893,"&gt;0",Calculation_Data!$D$2:$D$893,"&gt;=3")&amp;"/"&amp;G34&amp;" ("&amp;TEXT(COUNTIFS(Calculation_Data!$A$2:$A$893,A34,Calculation_Data!$B$2:$B$893,B34,Calculation_Data!$C$2:$C$893,"&gt;0",Calculation_Data!$D$2:$D$893,"&gt;=3")/G34,"0.0%")&amp;")")</x:f>
        <x:v>4/10 (40.0%)</x:v>
      </x:c>
      <x:c r="J34" t="n">
        <x:f>IF(D34="","",1+COUNTIFS($A$2:$A$84,A34,$D$2:$D$84,"&gt;"&amp;D34))</x:f>
        <x:v>12</x:v>
      </x:c>
      <x:c r="K34" t="n">
        <x:f>IF(H34="","",1+COUNTIFS($A$2:$A$84,A34,$H$2:$H$84,"&gt;"&amp;H34))</x:f>
        <x:v>8</x:v>
      </x:c>
    </x:row>
    <x:row r="35">
      <x:c r="A35" s="5" t="str">
        <x:v>Reading &amp; Decoding Difficulties</x:v>
      </x:c>
      <x:c r="B35" s="5" t="str">
        <x:v>Large amounts of structured information can be difficult to process quickly.</x:v>
      </x:c>
      <x:c r="C35" t="n">
        <x:f>COUNTIFS(Calculation_Data!$A$2:$A$893,A35,Calculation_Data!$B$2:$B$893,B35,Calculation_Data!$C$2:$C$893,"&gt;=0")</x:f>
        <x:v>13</x:v>
      </x:c>
      <x:c r="D35" s="8" t="n">
        <x:f>IF(C35=0,"",SUMIFS(Calculation_Data!$C$2:$C$893,Calculation_Data!$A$2:$A$893,A35,Calculation_Data!$B$2:$B$893,B35)/C35)</x:f>
        <x:v>2.230769230769231</x:v>
      </x:c>
      <x:c r="E35" t="str">
        <x:f>IF(C35=0,"",COUNTIFS(Calculation_Data!$A$2:$A$893,A35,Calculation_Data!$B$2:$B$893,B35,Calculation_Data!$C$2:$C$893,"&gt;=3")&amp;"/"&amp;C35&amp;" ("&amp;TEXT(COUNTIFS(Calculation_Data!$A$2:$A$893,A35,Calculation_Data!$B$2:$B$893,B35,Calculation_Data!$C$2:$C$893,"&gt;=3")/C35,"0.0%")&amp;")")</x:f>
        <x:v>5/13 (38.5%)</x:v>
      </x:c>
      <x:c r="F35" t="str">
        <x:f>IF(C35=0,"",COUNTIFS(Calculation_Data!$A$2:$A$893,A35,Calculation_Data!$B$2:$B$893,B35,Calculation_Data!$C$2:$C$893,"&gt;0")&amp;"/"&amp;C35&amp;" ("&amp;TEXT(COUNTIFS(Calculation_Data!$A$2:$A$893,A35,Calculation_Data!$B$2:$B$893,B35,Calculation_Data!$C$2:$C$893,"&gt;0")/C35,"0.0%")&amp;")")</x:f>
        <x:v>12/13 (92.3%)</x:v>
      </x:c>
      <x:c r="G35" t="n">
        <x:f>COUNTIFS(Calculation_Data!$A$2:$A$893,A35,Calculation_Data!$B$2:$B$893,B35,Calculation_Data!$C$2:$C$893,"&gt;0",Calculation_Data!$D$2:$D$893,"&gt;=0")</x:f>
        <x:v>12</x:v>
      </x:c>
      <x:c r="H35" s="8" t="n">
        <x:f>IF(G35=0,"",SUMIFS(Calculation_Data!$D$2:$D$893,Calculation_Data!$A$2:$A$893,A35,Calculation_Data!$B$2:$B$893,B35,Calculation_Data!$C$2:$C$893,"&gt;0")/G35)</x:f>
        <x:v>1.75</x:v>
      </x:c>
      <x:c r="I35" t="str">
        <x:f>IF(G35=0,"",COUNTIFS(Calculation_Data!$A$2:$A$893,A35,Calculation_Data!$B$2:$B$893,B35,Calculation_Data!$C$2:$C$893,"&gt;0",Calculation_Data!$D$2:$D$893,"&gt;=3")&amp;"/"&amp;G35&amp;" ("&amp;TEXT(COUNTIFS(Calculation_Data!$A$2:$A$893,A35,Calculation_Data!$B$2:$B$893,B35,Calculation_Data!$C$2:$C$893,"&gt;0",Calculation_Data!$D$2:$D$893,"&gt;=3")/G35,"0.0%")&amp;")")</x:f>
        <x:v>3/12 (25.0%)</x:v>
      </x:c>
      <x:c r="J35" t="n">
        <x:f>IF(D35="","",1+COUNTIFS($A$2:$A$84,A35,$D$2:$D$84,"&gt;"&amp;D35))</x:f>
        <x:v>13</x:v>
      </x:c>
      <x:c r="K35" t="n">
        <x:f>IF(H35="","",1+COUNTIFS($A$2:$A$84,A35,$H$2:$H$84,"&gt;"&amp;H35))</x:f>
        <x:v>14</x:v>
      </x:c>
    </x:row>
    <x:row r="36">
      <x:c r="A36" s="5" t="str">
        <x:v>Reading &amp; Decoding Difficulties</x:v>
      </x:c>
      <x:c r="B36" s="5" t="str">
        <x:v>Long variable names made from multiple concatenated words can be difficult to read.</x:v>
      </x:c>
      <x:c r="C36" t="n">
        <x:f>COUNTIFS(Calculation_Data!$A$2:$A$893,A36,Calculation_Data!$B$2:$B$893,B36,Calculation_Data!$C$2:$C$893,"&gt;=0")</x:f>
        <x:v>11</x:v>
      </x:c>
      <x:c r="D36" s="8" t="n">
        <x:f>IF(C36=0,"",SUMIFS(Calculation_Data!$C$2:$C$893,Calculation_Data!$A$2:$A$893,A36,Calculation_Data!$B$2:$B$893,B36)/C36)</x:f>
        <x:v>1.9090909090909092</x:v>
      </x:c>
      <x:c r="E36" t="str">
        <x:f>IF(C36=0,"",COUNTIFS(Calculation_Data!$A$2:$A$893,A36,Calculation_Data!$B$2:$B$893,B36,Calculation_Data!$C$2:$C$893,"&gt;=3")&amp;"/"&amp;C36&amp;" ("&amp;TEXT(COUNTIFS(Calculation_Data!$A$2:$A$893,A36,Calculation_Data!$B$2:$B$893,B36,Calculation_Data!$C$2:$C$893,"&gt;=3")/C36,"0.0%")&amp;")")</x:f>
        <x:v>4/11 (36.4%)</x:v>
      </x:c>
      <x:c r="F36" t="str">
        <x:f>IF(C36=0,"",COUNTIFS(Calculation_Data!$A$2:$A$893,A36,Calculation_Data!$B$2:$B$893,B36,Calculation_Data!$C$2:$C$893,"&gt;0")&amp;"/"&amp;C36&amp;" ("&amp;TEXT(COUNTIFS(Calculation_Data!$A$2:$A$893,A36,Calculation_Data!$B$2:$B$893,B36,Calculation_Data!$C$2:$C$893,"&gt;0")/C36,"0.0%")&amp;")")</x:f>
        <x:v>10/11 (90.9%)</x:v>
      </x:c>
      <x:c r="G36" t="n">
        <x:f>COUNTIFS(Calculation_Data!$A$2:$A$893,A36,Calculation_Data!$B$2:$B$893,B36,Calculation_Data!$C$2:$C$893,"&gt;0",Calculation_Data!$D$2:$D$893,"&gt;=0")</x:f>
        <x:v>10</x:v>
      </x:c>
      <x:c r="H36" s="8" t="n">
        <x:f>IF(G36=0,"",SUMIFS(Calculation_Data!$D$2:$D$893,Calculation_Data!$A$2:$A$893,A36,Calculation_Data!$B$2:$B$893,B36,Calculation_Data!$C$2:$C$893,"&gt;0")/G36)</x:f>
        <x:v>1.1</x:v>
      </x:c>
      <x:c r="I36" t="str">
        <x:f>IF(G36=0,"",COUNTIFS(Calculation_Data!$A$2:$A$893,A36,Calculation_Data!$B$2:$B$893,B36,Calculation_Data!$C$2:$C$893,"&gt;0",Calculation_Data!$D$2:$D$893,"&gt;=3")&amp;"/"&amp;G36&amp;" ("&amp;TEXT(COUNTIFS(Calculation_Data!$A$2:$A$893,A36,Calculation_Data!$B$2:$B$893,B36,Calculation_Data!$C$2:$C$893,"&gt;0",Calculation_Data!$D$2:$D$893,"&gt;=3")/G36,"0.0%")&amp;")")</x:f>
        <x:v>1/10 (10.0%)</x:v>
      </x:c>
      <x:c r="J36" t="n">
        <x:f>IF(D36="","",1+COUNTIFS($A$2:$A$84,A36,$D$2:$D$84,"&gt;"&amp;D36))</x:f>
        <x:v>20</x:v>
      </x:c>
      <x:c r="K36" t="n">
        <x:f>IF(H36="","",1+COUNTIFS($A$2:$A$84,A36,$H$2:$H$84,"&gt;"&amp;H36))</x:f>
        <x:v>24</x:v>
      </x:c>
    </x:row>
    <x:row r="37">
      <x:c r="A37" s="5" t="str">
        <x:v>Reading &amp; Decoding Difficulties</x:v>
      </x:c>
      <x:c r="B37" s="5" t="str">
        <x:v>Interface text is sometimes misread because of dyslexia.</x:v>
      </x:c>
      <x:c r="C37" t="n">
        <x:f>COUNTIFS(Calculation_Data!$A$2:$A$893,A37,Calculation_Data!$B$2:$B$893,B37,Calculation_Data!$C$2:$C$893,"&gt;=0")</x:f>
        <x:v>12</x:v>
      </x:c>
      <x:c r="D37" s="8" t="n">
        <x:f>IF(C37=0,"",SUMIFS(Calculation_Data!$C$2:$C$893,Calculation_Data!$A$2:$A$893,A37,Calculation_Data!$B$2:$B$893,B37)/C37)</x:f>
        <x:v>2</x:v>
      </x:c>
      <x:c r="E37" t="str">
        <x:f>IF(C37=0,"",COUNTIFS(Calculation_Data!$A$2:$A$893,A37,Calculation_Data!$B$2:$B$893,B37,Calculation_Data!$C$2:$C$893,"&gt;=3")&amp;"/"&amp;C37&amp;" ("&amp;TEXT(COUNTIFS(Calculation_Data!$A$2:$A$893,A37,Calculation_Data!$B$2:$B$893,B37,Calculation_Data!$C$2:$C$893,"&gt;=3")/C37,"0.0%")&amp;")")</x:f>
        <x:v>3/12 (25.0%)</x:v>
      </x:c>
      <x:c r="F37" t="str">
        <x:f>IF(C37=0,"",COUNTIFS(Calculation_Data!$A$2:$A$893,A37,Calculation_Data!$B$2:$B$893,B37,Calculation_Data!$C$2:$C$893,"&gt;0")&amp;"/"&amp;C37&amp;" ("&amp;TEXT(COUNTIFS(Calculation_Data!$A$2:$A$893,A37,Calculation_Data!$B$2:$B$893,B37,Calculation_Data!$C$2:$C$893,"&gt;0")/C37,"0.0%")&amp;")")</x:f>
        <x:v>11/12 (91.7%)</x:v>
      </x:c>
      <x:c r="G37" t="n">
        <x:f>COUNTIFS(Calculation_Data!$A$2:$A$893,A37,Calculation_Data!$B$2:$B$893,B37,Calculation_Data!$C$2:$C$893,"&gt;0",Calculation_Data!$D$2:$D$893,"&gt;=0")</x:f>
        <x:v>11</x:v>
      </x:c>
      <x:c r="H37" s="8" t="n">
        <x:f>IF(G37=0,"",SUMIFS(Calculation_Data!$D$2:$D$893,Calculation_Data!$A$2:$A$893,A37,Calculation_Data!$B$2:$B$893,B37,Calculation_Data!$C$2:$C$893,"&gt;0")/G37)</x:f>
        <x:v>1.5454545454545454</x:v>
      </x:c>
      <x:c r="I37" t="str">
        <x:f>IF(G37=0,"",COUNTIFS(Calculation_Data!$A$2:$A$893,A37,Calculation_Data!$B$2:$B$893,B37,Calculation_Data!$C$2:$C$893,"&gt;0",Calculation_Data!$D$2:$D$893,"&gt;=3")&amp;"/"&amp;G37&amp;" ("&amp;TEXT(COUNTIFS(Calculation_Data!$A$2:$A$893,A37,Calculation_Data!$B$2:$B$893,B37,Calculation_Data!$C$2:$C$893,"&gt;0",Calculation_Data!$D$2:$D$893,"&gt;=3")/G37,"0.0%")&amp;")")</x:f>
        <x:v>3/11 (27.3%)</x:v>
      </x:c>
      <x:c r="J37" t="n">
        <x:f>IF(D37="","",1+COUNTIFS($A$2:$A$84,A37,$D$2:$D$84,"&gt;"&amp;D37))</x:f>
        <x:v>17</x:v>
      </x:c>
      <x:c r="K37" t="n">
        <x:f>IF(H37="","",1+COUNTIFS($A$2:$A$84,A37,$H$2:$H$84,"&gt;"&amp;H37))</x:f>
        <x:v>18</x:v>
      </x:c>
    </x:row>
    <x:row r="38">
      <x:c r="A38" s="5" t="str">
        <x:v>Working Memory Limitations</x:v>
      </x:c>
      <x:c r="B38" s="5" t="str">
        <x:v>Breaking down a large problem into smaller steps before starting a task can be difficult.</x:v>
      </x:c>
      <x:c r="C38" t="n">
        <x:f>COUNTIFS(Calculation_Data!$A$2:$A$893,A38,Calculation_Data!$B$2:$B$893,B38,Calculation_Data!$C$2:$C$893,"&gt;=0")</x:f>
        <x:v>10</x:v>
      </x:c>
      <x:c r="D38" s="8" t="n">
        <x:f>IF(C38=0,"",SUMIFS(Calculation_Data!$C$2:$C$893,Calculation_Data!$A$2:$A$893,A38,Calculation_Data!$B$2:$B$893,B38)/C38)</x:f>
        <x:v>1.8</x:v>
      </x:c>
      <x:c r="E38" t="str">
        <x:f>IF(C38=0,"",COUNTIFS(Calculation_Data!$A$2:$A$893,A38,Calculation_Data!$B$2:$B$893,B38,Calculation_Data!$C$2:$C$893,"&gt;=3")&amp;"/"&amp;C38&amp;" ("&amp;TEXT(COUNTIFS(Calculation_Data!$A$2:$A$893,A38,Calculation_Data!$B$2:$B$893,B38,Calculation_Data!$C$2:$C$893,"&gt;=3")/C38,"0.0%")&amp;")")</x:f>
        <x:v>2/10 (20.0%)</x:v>
      </x:c>
      <x:c r="F38" t="str">
        <x:f>IF(C38=0,"",COUNTIFS(Calculation_Data!$A$2:$A$893,A38,Calculation_Data!$B$2:$B$893,B38,Calculation_Data!$C$2:$C$893,"&gt;0")&amp;"/"&amp;C38&amp;" ("&amp;TEXT(COUNTIFS(Calculation_Data!$A$2:$A$893,A38,Calculation_Data!$B$2:$B$893,B38,Calculation_Data!$C$2:$C$893,"&gt;0")/C38,"0.0%")&amp;")")</x:f>
        <x:v>9/10 (90.0%)</x:v>
      </x:c>
      <x:c r="G38" t="n">
        <x:f>COUNTIFS(Calculation_Data!$A$2:$A$893,A38,Calculation_Data!$B$2:$B$893,B38,Calculation_Data!$C$2:$C$893,"&gt;0",Calculation_Data!$D$2:$D$893,"&gt;=0")</x:f>
        <x:v>9</x:v>
      </x:c>
      <x:c r="H38" s="8" t="n">
        <x:f>IF(G38=0,"",SUMIFS(Calculation_Data!$D$2:$D$893,Calculation_Data!$A$2:$A$893,A38,Calculation_Data!$B$2:$B$893,B38,Calculation_Data!$C$2:$C$893,"&gt;0")/G38)</x:f>
        <x:v>1.3333333333333333</x:v>
      </x:c>
      <x:c r="I38" t="str">
        <x:f>IF(G38=0,"",COUNTIFS(Calculation_Data!$A$2:$A$893,A38,Calculation_Data!$B$2:$B$893,B38,Calculation_Data!$C$2:$C$893,"&gt;0",Calculation_Data!$D$2:$D$893,"&gt;=3")&amp;"/"&amp;G38&amp;" ("&amp;TEXT(COUNTIFS(Calculation_Data!$A$2:$A$893,A38,Calculation_Data!$B$2:$B$893,B38,Calculation_Data!$C$2:$C$893,"&gt;0",Calculation_Data!$D$2:$D$893,"&gt;=3")/G38,"0.0%")&amp;")")</x:f>
        <x:v>0/9 (0.0%)</x:v>
      </x:c>
      <x:c r="J38" t="n">
        <x:f>IF(D38="","",1+COUNTIFS($A$2:$A$84,A38,$D$2:$D$84,"&gt;"&amp;D38))</x:f>
        <x:v>12</x:v>
      </x:c>
      <x:c r="K38" t="n">
        <x:f>IF(H38="","",1+COUNTIFS($A$2:$A$84,A38,$H$2:$H$84,"&gt;"&amp;H38))</x:f>
        <x:v>16</x:v>
      </x:c>
    </x:row>
    <x:row r="39">
      <x:c r="A39" s="5" t="str">
        <x:v>Working Memory Limitations</x:v>
      </x:c>
      <x:c r="B39" s="5" t="str">
        <x:v>After a fast verbal explanation, it can be hard to remember all the details.</x:v>
      </x:c>
      <x:c r="C39" t="n">
        <x:f>COUNTIFS(Calculation_Data!$A$2:$A$893,A39,Calculation_Data!$B$2:$B$893,B39,Calculation_Data!$C$2:$C$893,"&gt;=0")</x:f>
        <x:v>11</x:v>
      </x:c>
      <x:c r="D39" s="8" t="n">
        <x:f>IF(C39=0,"",SUMIFS(Calculation_Data!$C$2:$C$893,Calculation_Data!$A$2:$A$893,A39,Calculation_Data!$B$2:$B$893,B39)/C39)</x:f>
        <x:v>3.090909090909091</x:v>
      </x:c>
      <x:c r="E39" t="str">
        <x:f>IF(C39=0,"",COUNTIFS(Calculation_Data!$A$2:$A$893,A39,Calculation_Data!$B$2:$B$893,B39,Calculation_Data!$C$2:$C$893,"&gt;=3")&amp;"/"&amp;C39&amp;" ("&amp;TEXT(COUNTIFS(Calculation_Data!$A$2:$A$893,A39,Calculation_Data!$B$2:$B$893,B39,Calculation_Data!$C$2:$C$893,"&gt;=3")/C39,"0.0%")&amp;")")</x:f>
        <x:v>8/11 (72.7%)</x:v>
      </x:c>
      <x:c r="F39" t="str">
        <x:f>IF(C39=0,"",COUNTIFS(Calculation_Data!$A$2:$A$893,A39,Calculation_Data!$B$2:$B$893,B39,Calculation_Data!$C$2:$C$893,"&gt;0")&amp;"/"&amp;C39&amp;" ("&amp;TEXT(COUNTIFS(Calculation_Data!$A$2:$A$893,A39,Calculation_Data!$B$2:$B$893,B39,Calculation_Data!$C$2:$C$893,"&gt;0")/C39,"0.0%")&amp;")")</x:f>
        <x:v>11/11 (100.0%)</x:v>
      </x:c>
      <x:c r="G39" t="n">
        <x:f>COUNTIFS(Calculation_Data!$A$2:$A$893,A39,Calculation_Data!$B$2:$B$893,B39,Calculation_Data!$C$2:$C$893,"&gt;0",Calculation_Data!$D$2:$D$893,"&gt;=0")</x:f>
        <x:v>11</x:v>
      </x:c>
      <x:c r="H39" s="8" t="n">
        <x:f>IF(G39=0,"",SUMIFS(Calculation_Data!$D$2:$D$893,Calculation_Data!$A$2:$A$893,A39,Calculation_Data!$B$2:$B$893,B39,Calculation_Data!$C$2:$C$893,"&gt;0")/G39)</x:f>
        <x:v>2.3636363636363638</x:v>
      </x:c>
      <x:c r="I39" t="str">
        <x:f>IF(G39=0,"",COUNTIFS(Calculation_Data!$A$2:$A$893,A39,Calculation_Data!$B$2:$B$893,B39,Calculation_Data!$C$2:$C$893,"&gt;0",Calculation_Data!$D$2:$D$893,"&gt;=3")&amp;"/"&amp;G39&amp;" ("&amp;TEXT(COUNTIFS(Calculation_Data!$A$2:$A$893,A39,Calculation_Data!$B$2:$B$893,B39,Calculation_Data!$C$2:$C$893,"&gt;0",Calculation_Data!$D$2:$D$893,"&gt;=3")/G39,"0.0%")&amp;")")</x:f>
        <x:v>6/11 (54.5%)</x:v>
      </x:c>
      <x:c r="J39" t="n">
        <x:f>IF(D39="","",1+COUNTIFS($A$2:$A$84,A39,$D$2:$D$84,"&gt;"&amp;D39))</x:f>
        <x:v>1</x:v>
      </x:c>
      <x:c r="K39" t="n">
        <x:f>IF(H39="","",1+COUNTIFS($A$2:$A$84,A39,$H$2:$H$84,"&gt;"&amp;H39))</x:f>
        <x:v>3</x:v>
      </x:c>
    </x:row>
    <x:row r="40">
      <x:c r="A40" s="5" t="str">
        <x:v>Working Memory Limitations</x:v>
      </x:c>
      <x:c r="B40" s="5" t="str">
        <x:v>When tasks become mentally demanding, it is easy to lose track of what I was doing.</x:v>
      </x:c>
      <x:c r="C40" t="n">
        <x:f>COUNTIFS(Calculation_Data!$A$2:$A$893,A40,Calculation_Data!$B$2:$B$893,B40,Calculation_Data!$C$2:$C$893,"&gt;=0")</x:f>
        <x:v>11</x:v>
      </x:c>
      <x:c r="D40" s="8" t="n">
        <x:f>IF(C40=0,"",SUMIFS(Calculation_Data!$C$2:$C$893,Calculation_Data!$A$2:$A$893,A40,Calculation_Data!$B$2:$B$893,B40)/C40)</x:f>
        <x:v>2.3636363636363638</x:v>
      </x:c>
      <x:c r="E40" t="str">
        <x:f>IF(C40=0,"",COUNTIFS(Calculation_Data!$A$2:$A$893,A40,Calculation_Data!$B$2:$B$893,B40,Calculation_Data!$C$2:$C$893,"&gt;=3")&amp;"/"&amp;C40&amp;" ("&amp;TEXT(COUNTIFS(Calculation_Data!$A$2:$A$893,A40,Calculation_Data!$B$2:$B$893,B40,Calculation_Data!$C$2:$C$893,"&gt;=3")/C40,"0.0%")&amp;")")</x:f>
        <x:v>5/11 (45.5%)</x:v>
      </x:c>
      <x:c r="F40" t="str">
        <x:f>IF(C40=0,"",COUNTIFS(Calculation_Data!$A$2:$A$893,A40,Calculation_Data!$B$2:$B$893,B40,Calculation_Data!$C$2:$C$893,"&gt;0")&amp;"/"&amp;C40&amp;" ("&amp;TEXT(COUNTIFS(Calculation_Data!$A$2:$A$893,A40,Calculation_Data!$B$2:$B$893,B40,Calculation_Data!$C$2:$C$893,"&gt;0")/C40,"0.0%")&amp;")")</x:f>
        <x:v>11/11 (100.0%)</x:v>
      </x:c>
      <x:c r="G40" t="n">
        <x:f>COUNTIFS(Calculation_Data!$A$2:$A$893,A40,Calculation_Data!$B$2:$B$893,B40,Calculation_Data!$C$2:$C$893,"&gt;0",Calculation_Data!$D$2:$D$893,"&gt;=0")</x:f>
        <x:v>11</x:v>
      </x:c>
      <x:c r="H40" s="8" t="n">
        <x:f>IF(G40=0,"",SUMIFS(Calculation_Data!$D$2:$D$893,Calculation_Data!$A$2:$A$893,A40,Calculation_Data!$B$2:$B$893,B40,Calculation_Data!$C$2:$C$893,"&gt;0")/G40)</x:f>
        <x:v>1.7272727272727273</x:v>
      </x:c>
      <x:c r="I40" t="str">
        <x:f>IF(G40=0,"",COUNTIFS(Calculation_Data!$A$2:$A$893,A40,Calculation_Data!$B$2:$B$893,B40,Calculation_Data!$C$2:$C$893,"&gt;0",Calculation_Data!$D$2:$D$893,"&gt;=3")&amp;"/"&amp;G40&amp;" ("&amp;TEXT(COUNTIFS(Calculation_Data!$A$2:$A$893,A40,Calculation_Data!$B$2:$B$893,B40,Calculation_Data!$C$2:$C$893,"&gt;0",Calculation_Data!$D$2:$D$893,"&gt;=3")/G40,"0.0%")&amp;")")</x:f>
        <x:v>3/11 (27.3%)</x:v>
      </x:c>
      <x:c r="J40" t="n">
        <x:f>IF(D40="","",1+COUNTIFS($A$2:$A$84,A40,$D$2:$D$84,"&gt;"&amp;D40))</x:f>
        <x:v>6</x:v>
      </x:c>
      <x:c r="K40" t="n">
        <x:f>IF(H40="","",1+COUNTIFS($A$2:$A$84,A40,$H$2:$H$84,"&gt;"&amp;H40))</x:f>
        <x:v>12</x:v>
      </x:c>
    </x:row>
    <x:row r="41">
      <x:c r="A41" s="5" t="str">
        <x:v>Working Memory Limitations</x:v>
      </x:c>
      <x:c r="B41" s="5" t="str">
        <x:v>When too much information needs to be remembered at once, expressing ideas clearly becomes harder.</x:v>
      </x:c>
      <x:c r="C41" t="n">
        <x:f>COUNTIFS(Calculation_Data!$A$2:$A$893,A41,Calculation_Data!$B$2:$B$893,B41,Calculation_Data!$C$2:$C$893,"&gt;=0")</x:f>
        <x:v>11</x:v>
      </x:c>
      <x:c r="D41" s="8" t="n">
        <x:f>IF(C41=0,"",SUMIFS(Calculation_Data!$C$2:$C$893,Calculation_Data!$A$2:$A$893,A41,Calculation_Data!$B$2:$B$893,B41)/C41)</x:f>
        <x:v>2.272727272727273</x:v>
      </x:c>
      <x:c r="E41" t="str">
        <x:f>IF(C41=0,"",COUNTIFS(Calculation_Data!$A$2:$A$893,A41,Calculation_Data!$B$2:$B$893,B41,Calculation_Data!$C$2:$C$893,"&gt;=3")&amp;"/"&amp;C41&amp;" ("&amp;TEXT(COUNTIFS(Calculation_Data!$A$2:$A$893,A41,Calculation_Data!$B$2:$B$893,B41,Calculation_Data!$C$2:$C$893,"&gt;=3")/C41,"0.0%")&amp;")")</x:f>
        <x:v>5/11 (45.5%)</x:v>
      </x:c>
      <x:c r="F41" t="str">
        <x:f>IF(C41=0,"",COUNTIFS(Calculation_Data!$A$2:$A$893,A41,Calculation_Data!$B$2:$B$893,B41,Calculation_Data!$C$2:$C$893,"&gt;0")&amp;"/"&amp;C41&amp;" ("&amp;TEXT(COUNTIFS(Calculation_Data!$A$2:$A$893,A41,Calculation_Data!$B$2:$B$893,B41,Calculation_Data!$C$2:$C$893,"&gt;0")/C41,"0.0%")&amp;")")</x:f>
        <x:v>10/11 (90.9%)</x:v>
      </x:c>
      <x:c r="G41" t="n">
        <x:f>COUNTIFS(Calculation_Data!$A$2:$A$893,A41,Calculation_Data!$B$2:$B$893,B41,Calculation_Data!$C$2:$C$893,"&gt;0",Calculation_Data!$D$2:$D$893,"&gt;=0")</x:f>
        <x:v>10</x:v>
      </x:c>
      <x:c r="H41" s="8" t="n">
        <x:f>IF(G41=0,"",SUMIFS(Calculation_Data!$D$2:$D$893,Calculation_Data!$A$2:$A$893,A41,Calculation_Data!$B$2:$B$893,B41,Calculation_Data!$C$2:$C$893,"&gt;0")/G41)</x:f>
        <x:v>1.8</x:v>
      </x:c>
      <x:c r="I41" t="str">
        <x:f>IF(G41=0,"",COUNTIFS(Calculation_Data!$A$2:$A$893,A41,Calculation_Data!$B$2:$B$893,B41,Calculation_Data!$C$2:$C$893,"&gt;0",Calculation_Data!$D$2:$D$893,"&gt;=3")&amp;"/"&amp;G41&amp;" ("&amp;TEXT(COUNTIFS(Calculation_Data!$A$2:$A$893,A41,Calculation_Data!$B$2:$B$893,B41,Calculation_Data!$C$2:$C$893,"&gt;0",Calculation_Data!$D$2:$D$893,"&gt;=3")/G41,"0.0%")&amp;")")</x:f>
        <x:v>4/10 (40.0%)</x:v>
      </x:c>
      <x:c r="J41" t="n">
        <x:f>IF(D41="","",1+COUNTIFS($A$2:$A$84,A41,$D$2:$D$84,"&gt;"&amp;D41))</x:f>
        <x:v>7</x:v>
      </x:c>
      <x:c r="K41" t="n">
        <x:f>IF(H41="","",1+COUNTIFS($A$2:$A$84,A41,$H$2:$H$84,"&gt;"&amp;H41))</x:f>
        <x:v>9</x:v>
      </x:c>
    </x:row>
    <x:row r="42">
      <x:c r="A42" s="5" t="str">
        <x:v>Working Memory Limitations</x:v>
      </x:c>
      <x:c r="B42" s="5" t="str">
        <x:v>Following technical specifications that contain many numbers or details can be challenging.</x:v>
      </x:c>
      <x:c r="C42" t="n">
        <x:f>COUNTIFS(Calculation_Data!$A$2:$A$893,A42,Calculation_Data!$B$2:$B$893,B42,Calculation_Data!$C$2:$C$893,"&gt;=0")</x:f>
        <x:v>11</x:v>
      </x:c>
      <x:c r="D42" s="8" t="n">
        <x:f>IF(C42=0,"",SUMIFS(Calculation_Data!$C$2:$C$893,Calculation_Data!$A$2:$A$893,A42,Calculation_Data!$B$2:$B$893,B42)/C42)</x:f>
        <x:v>1.5454545454545454</x:v>
      </x:c>
      <x:c r="E42" t="str">
        <x:f>IF(C42=0,"",COUNTIFS(Calculation_Data!$A$2:$A$893,A42,Calculation_Data!$B$2:$B$893,B42,Calculation_Data!$C$2:$C$893,"&gt;=3")&amp;"/"&amp;C42&amp;" ("&amp;TEXT(COUNTIFS(Calculation_Data!$A$2:$A$893,A42,Calculation_Data!$B$2:$B$893,B42,Calculation_Data!$C$2:$C$893,"&gt;=3")/C42,"0.0%")&amp;")")</x:f>
        <x:v>3/11 (27.3%)</x:v>
      </x:c>
      <x:c r="F42" t="str">
        <x:f>IF(C42=0,"",COUNTIFS(Calculation_Data!$A$2:$A$893,A42,Calculation_Data!$B$2:$B$893,B42,Calculation_Data!$C$2:$C$893,"&gt;0")&amp;"/"&amp;C42&amp;" ("&amp;TEXT(COUNTIFS(Calculation_Data!$A$2:$A$893,A42,Calculation_Data!$B$2:$B$893,B42,Calculation_Data!$C$2:$C$893,"&gt;0")/C42,"0.0%")&amp;")")</x:f>
        <x:v>7/11 (63.6%)</x:v>
      </x:c>
      <x:c r="G42" t="n">
        <x:f>COUNTIFS(Calculation_Data!$A$2:$A$893,A42,Calculation_Data!$B$2:$B$893,B42,Calculation_Data!$C$2:$C$893,"&gt;0",Calculation_Data!$D$2:$D$893,"&gt;=0")</x:f>
        <x:v>7</x:v>
      </x:c>
      <x:c r="H42" s="8" t="n">
        <x:f>IF(G42=0,"",SUMIFS(Calculation_Data!$D$2:$D$893,Calculation_Data!$A$2:$A$893,A42,Calculation_Data!$B$2:$B$893,B42,Calculation_Data!$C$2:$C$893,"&gt;0")/G42)</x:f>
        <x:v>2</x:v>
      </x:c>
      <x:c r="I42" t="str">
        <x:f>IF(G42=0,"",COUNTIFS(Calculation_Data!$A$2:$A$893,A42,Calculation_Data!$B$2:$B$893,B42,Calculation_Data!$C$2:$C$893,"&gt;0",Calculation_Data!$D$2:$D$893,"&gt;=3")&amp;"/"&amp;G42&amp;" ("&amp;TEXT(COUNTIFS(Calculation_Data!$A$2:$A$893,A42,Calculation_Data!$B$2:$B$893,B42,Calculation_Data!$C$2:$C$893,"&gt;0",Calculation_Data!$D$2:$D$893,"&gt;=3")/G42,"0.0%")&amp;")")</x:f>
        <x:v>3/7 (42.9%)</x:v>
      </x:c>
      <x:c r="J42" t="n">
        <x:f>IF(D42="","",1+COUNTIFS($A$2:$A$84,A42,$D$2:$D$84,"&gt;"&amp;D42))</x:f>
        <x:v>16</x:v>
      </x:c>
      <x:c r="K42" t="n">
        <x:f>IF(H42="","",1+COUNTIFS($A$2:$A$84,A42,$H$2:$H$84,"&gt;"&amp;H42))</x:f>
        <x:v>6</x:v>
      </x:c>
    </x:row>
    <x:row r="43">
      <x:c r="A43" s="5" t="str">
        <x:v>Working Memory Limitations</x:v>
      </x:c>
      <x:c r="B43" s="5" t="str">
        <x:v>In long or complex methods, it is easy to lose track of the logic when the code changes.</x:v>
      </x:c>
      <x:c r="C43" t="n">
        <x:f>COUNTIFS(Calculation_Data!$A$2:$A$893,A43,Calculation_Data!$B$2:$B$893,B43,Calculation_Data!$C$2:$C$893,"&gt;=0")</x:f>
        <x:v>10</x:v>
      </x:c>
      <x:c r="D43" s="8" t="n">
        <x:f>IF(C43=0,"",SUMIFS(Calculation_Data!$C$2:$C$893,Calculation_Data!$A$2:$A$893,A43,Calculation_Data!$B$2:$B$893,B43)/C43)</x:f>
        <x:v>1.8</x:v>
      </x:c>
      <x:c r="E43" t="str">
        <x:f>IF(C43=0,"",COUNTIFS(Calculation_Data!$A$2:$A$893,A43,Calculation_Data!$B$2:$B$893,B43,Calculation_Data!$C$2:$C$893,"&gt;=3")&amp;"/"&amp;C43&amp;" ("&amp;TEXT(COUNTIFS(Calculation_Data!$A$2:$A$893,A43,Calculation_Data!$B$2:$B$893,B43,Calculation_Data!$C$2:$C$893,"&gt;=3")/C43,"0.0%")&amp;")")</x:f>
        <x:v>4/10 (40.0%)</x:v>
      </x:c>
      <x:c r="F43" t="str">
        <x:f>IF(C43=0,"",COUNTIFS(Calculation_Data!$A$2:$A$893,A43,Calculation_Data!$B$2:$B$893,B43,Calculation_Data!$C$2:$C$893,"&gt;0")&amp;"/"&amp;C43&amp;" ("&amp;TEXT(COUNTIFS(Calculation_Data!$A$2:$A$893,A43,Calculation_Data!$B$2:$B$893,B43,Calculation_Data!$C$2:$C$893,"&gt;0")/C43,"0.0%")&amp;")")</x:f>
        <x:v>8/10 (80.0%)</x:v>
      </x:c>
      <x:c r="G43" t="n">
        <x:f>COUNTIFS(Calculation_Data!$A$2:$A$893,A43,Calculation_Data!$B$2:$B$893,B43,Calculation_Data!$C$2:$C$893,"&gt;0",Calculation_Data!$D$2:$D$893,"&gt;=0")</x:f>
        <x:v>8</x:v>
      </x:c>
      <x:c r="H43" s="8" t="n">
        <x:f>IF(G43=0,"",SUMIFS(Calculation_Data!$D$2:$D$893,Calculation_Data!$A$2:$A$893,A43,Calculation_Data!$B$2:$B$893,B43,Calculation_Data!$C$2:$C$893,"&gt;0")/G43)</x:f>
        <x:v>1.75</x:v>
      </x:c>
      <x:c r="I43" t="str">
        <x:f>IF(G43=0,"",COUNTIFS(Calculation_Data!$A$2:$A$893,A43,Calculation_Data!$B$2:$B$893,B43,Calculation_Data!$C$2:$C$893,"&gt;0",Calculation_Data!$D$2:$D$893,"&gt;=3")&amp;"/"&amp;G43&amp;" ("&amp;TEXT(COUNTIFS(Calculation_Data!$A$2:$A$893,A43,Calculation_Data!$B$2:$B$893,B43,Calculation_Data!$C$2:$C$893,"&gt;0",Calculation_Data!$D$2:$D$893,"&gt;=3")/G43,"0.0%")&amp;")")</x:f>
        <x:v>3/8 (37.5%)</x:v>
      </x:c>
      <x:c r="J43" t="n">
        <x:f>IF(D43="","",1+COUNTIFS($A$2:$A$84,A43,$D$2:$D$84,"&gt;"&amp;D43))</x:f>
        <x:v>12</x:v>
      </x:c>
      <x:c r="K43" t="n">
        <x:f>IF(H43="","",1+COUNTIFS($A$2:$A$84,A43,$H$2:$H$84,"&gt;"&amp;H43))</x:f>
        <x:v>10</x:v>
      </x:c>
    </x:row>
    <x:row r="44">
      <x:c r="A44" s="5" t="str">
        <x:v>Working Memory Limitations</x:v>
      </x:c>
      <x:c r="B44" s="5" t="str">
        <x:v>Starting a task can feel difficult when there is too much information to process at once.</x:v>
      </x:c>
      <x:c r="C44" t="n">
        <x:f>COUNTIFS(Calculation_Data!$A$2:$A$893,A44,Calculation_Data!$B$2:$B$893,B44,Calculation_Data!$C$2:$C$893,"&gt;=0")</x:f>
        <x:v>10</x:v>
      </x:c>
      <x:c r="D44" s="8" t="n">
        <x:f>IF(C44=0,"",SUMIFS(Calculation_Data!$C$2:$C$893,Calculation_Data!$A$2:$A$893,A44,Calculation_Data!$B$2:$B$893,B44)/C44)</x:f>
        <x:v>2.4</x:v>
      </x:c>
      <x:c r="E44" t="str">
        <x:f>IF(C44=0,"",COUNTIFS(Calculation_Data!$A$2:$A$893,A44,Calculation_Data!$B$2:$B$893,B44,Calculation_Data!$C$2:$C$893,"&gt;=3")&amp;"/"&amp;C44&amp;" ("&amp;TEXT(COUNTIFS(Calculation_Data!$A$2:$A$893,A44,Calculation_Data!$B$2:$B$893,B44,Calculation_Data!$C$2:$C$893,"&gt;=3")/C44,"0.0%")&amp;")")</x:f>
        <x:v>6/10 (60.0%)</x:v>
      </x:c>
      <x:c r="F44" t="str">
        <x:f>IF(C44=0,"",COUNTIFS(Calculation_Data!$A$2:$A$893,A44,Calculation_Data!$B$2:$B$893,B44,Calculation_Data!$C$2:$C$893,"&gt;0")&amp;"/"&amp;C44&amp;" ("&amp;TEXT(COUNTIFS(Calculation_Data!$A$2:$A$893,A44,Calculation_Data!$B$2:$B$893,B44,Calculation_Data!$C$2:$C$893,"&gt;0")/C44,"0.0%")&amp;")")</x:f>
        <x:v>9/10 (90.0%)</x:v>
      </x:c>
      <x:c r="G44" t="n">
        <x:f>COUNTIFS(Calculation_Data!$A$2:$A$893,A44,Calculation_Data!$B$2:$B$893,B44,Calculation_Data!$C$2:$C$893,"&gt;0",Calculation_Data!$D$2:$D$893,"&gt;=0")</x:f>
        <x:v>9</x:v>
      </x:c>
      <x:c r="H44" s="8" t="n">
        <x:f>IF(G44=0,"",SUMIFS(Calculation_Data!$D$2:$D$893,Calculation_Data!$A$2:$A$893,A44,Calculation_Data!$B$2:$B$893,B44,Calculation_Data!$C$2:$C$893,"&gt;0")/G44)</x:f>
        <x:v>2.111111111111111</x:v>
      </x:c>
      <x:c r="I44" t="str">
        <x:f>IF(G44=0,"",COUNTIFS(Calculation_Data!$A$2:$A$893,A44,Calculation_Data!$B$2:$B$893,B44,Calculation_Data!$C$2:$C$893,"&gt;0",Calculation_Data!$D$2:$D$893,"&gt;=3")&amp;"/"&amp;G44&amp;" ("&amp;TEXT(COUNTIFS(Calculation_Data!$A$2:$A$893,A44,Calculation_Data!$B$2:$B$893,B44,Calculation_Data!$C$2:$C$893,"&gt;0",Calculation_Data!$D$2:$D$893,"&gt;=3")/G44,"0.0%")&amp;")")</x:f>
        <x:v>4/9 (44.4%)</x:v>
      </x:c>
      <x:c r="J44" t="n">
        <x:f>IF(D44="","",1+COUNTIFS($A$2:$A$84,A44,$D$2:$D$84,"&gt;"&amp;D44))</x:f>
        <x:v>5</x:v>
      </x:c>
      <x:c r="K44" t="n">
        <x:f>IF(H44="","",1+COUNTIFS($A$2:$A$84,A44,$H$2:$H$84,"&gt;"&amp;H44))</x:f>
        <x:v>5</x:v>
      </x:c>
    </x:row>
    <x:row r="45">
      <x:c r="A45" s="5" t="str">
        <x:v>Working Memory Limitations</x:v>
      </x:c>
      <x:c r="B45" s="5" t="str">
        <x:v>Keeping track of multiple pieces of logic while debugging can lead to slower progress or mistakes.</x:v>
      </x:c>
      <x:c r="C45" t="n">
        <x:f>COUNTIFS(Calculation_Data!$A$2:$A$893,A45,Calculation_Data!$B$2:$B$893,B45,Calculation_Data!$C$2:$C$893,"&gt;=0")</x:f>
        <x:v>10</x:v>
      </x:c>
      <x:c r="D45" s="8" t="n">
        <x:f>IF(C45=0,"",SUMIFS(Calculation_Data!$C$2:$C$893,Calculation_Data!$A$2:$A$893,A45,Calculation_Data!$B$2:$B$893,B45)/C45)</x:f>
        <x:v>1.4</x:v>
      </x:c>
      <x:c r="E45" t="str">
        <x:f>IF(C45=0,"",COUNTIFS(Calculation_Data!$A$2:$A$893,A45,Calculation_Data!$B$2:$B$893,B45,Calculation_Data!$C$2:$C$893,"&gt;=3")&amp;"/"&amp;C45&amp;" ("&amp;TEXT(COUNTIFS(Calculation_Data!$A$2:$A$893,A45,Calculation_Data!$B$2:$B$893,B45,Calculation_Data!$C$2:$C$893,"&gt;=3")/C45,"0.0%")&amp;")")</x:f>
        <x:v>1/10 (10.0%)</x:v>
      </x:c>
      <x:c r="F45" t="str">
        <x:f>IF(C45=0,"",COUNTIFS(Calculation_Data!$A$2:$A$893,A45,Calculation_Data!$B$2:$B$893,B45,Calculation_Data!$C$2:$C$893,"&gt;0")&amp;"/"&amp;C45&amp;" ("&amp;TEXT(COUNTIFS(Calculation_Data!$A$2:$A$893,A45,Calculation_Data!$B$2:$B$893,B45,Calculation_Data!$C$2:$C$893,"&gt;0")/C45,"0.0%")&amp;")")</x:f>
        <x:v>9/10 (90.0%)</x:v>
      </x:c>
      <x:c r="G45" t="n">
        <x:f>COUNTIFS(Calculation_Data!$A$2:$A$893,A45,Calculation_Data!$B$2:$B$893,B45,Calculation_Data!$C$2:$C$893,"&gt;0",Calculation_Data!$D$2:$D$893,"&gt;=0")</x:f>
        <x:v>9</x:v>
      </x:c>
      <x:c r="H45" s="8" t="n">
        <x:f>IF(G45=0,"",SUMIFS(Calculation_Data!$D$2:$D$893,Calculation_Data!$A$2:$A$893,A45,Calculation_Data!$B$2:$B$893,B45,Calculation_Data!$C$2:$C$893,"&gt;0")/G45)</x:f>
        <x:v>0.7777777777777778</x:v>
      </x:c>
      <x:c r="I45" t="str">
        <x:f>IF(G45=0,"",COUNTIFS(Calculation_Data!$A$2:$A$893,A45,Calculation_Data!$B$2:$B$893,B45,Calculation_Data!$C$2:$C$893,"&gt;0",Calculation_Data!$D$2:$D$893,"&gt;=3")&amp;"/"&amp;G45&amp;" ("&amp;TEXT(COUNTIFS(Calculation_Data!$A$2:$A$893,A45,Calculation_Data!$B$2:$B$893,B45,Calculation_Data!$C$2:$C$893,"&gt;0",Calculation_Data!$D$2:$D$893,"&gt;=3")/G45,"0.0%")&amp;")")</x:f>
        <x:v>0/9 (0.0%)</x:v>
      </x:c>
      <x:c r="J45" t="n">
        <x:f>IF(D45="","",1+COUNTIFS($A$2:$A$84,A45,$D$2:$D$84,"&gt;"&amp;D45))</x:f>
        <x:v>17</x:v>
      </x:c>
      <x:c r="K45" t="n">
        <x:f>IF(H45="","",1+COUNTIFS($A$2:$A$84,A45,$H$2:$H$84,"&gt;"&amp;H45))</x:f>
        <x:v>17</x:v>
      </x:c>
    </x:row>
    <x:row r="46">
      <x:c r="A46" s="5" t="str">
        <x:v>Working Memory Limitations</x:v>
      </x:c>
      <x:c r="B46" s="5" t="str">
        <x:v>Remembering programming syntax, commands, or concepts can require extra effort.</x:v>
      </x:c>
      <x:c r="C46" t="n">
        <x:f>COUNTIFS(Calculation_Data!$A$2:$A$893,A46,Calculation_Data!$B$2:$B$893,B46,Calculation_Data!$C$2:$C$893,"&gt;=0")</x:f>
        <x:v>9</x:v>
      </x:c>
      <x:c r="D46" s="8" t="n">
        <x:f>IF(C46=0,"",SUMIFS(Calculation_Data!$C$2:$C$893,Calculation_Data!$A$2:$A$893,A46,Calculation_Data!$B$2:$B$893,B46)/C46)</x:f>
        <x:v>2.6666666666666665</x:v>
      </x:c>
      <x:c r="E46" t="str">
        <x:f>IF(C46=0,"",COUNTIFS(Calculation_Data!$A$2:$A$893,A46,Calculation_Data!$B$2:$B$893,B46,Calculation_Data!$C$2:$C$893,"&gt;=3")&amp;"/"&amp;C46&amp;" ("&amp;TEXT(COUNTIFS(Calculation_Data!$A$2:$A$893,A46,Calculation_Data!$B$2:$B$893,B46,Calculation_Data!$C$2:$C$893,"&gt;=3")/C46,"0.0%")&amp;")")</x:f>
        <x:v>5/9 (55.6%)</x:v>
      </x:c>
      <x:c r="F46" t="str">
        <x:f>IF(C46=0,"",COUNTIFS(Calculation_Data!$A$2:$A$893,A46,Calculation_Data!$B$2:$B$893,B46,Calculation_Data!$C$2:$C$893,"&gt;0")&amp;"/"&amp;C46&amp;" ("&amp;TEXT(COUNTIFS(Calculation_Data!$A$2:$A$893,A46,Calculation_Data!$B$2:$B$893,B46,Calculation_Data!$C$2:$C$893,"&gt;0")/C46,"0.0%")&amp;")")</x:f>
        <x:v>9/9 (100.0%)</x:v>
      </x:c>
      <x:c r="G46" t="n">
        <x:f>COUNTIFS(Calculation_Data!$A$2:$A$893,A46,Calculation_Data!$B$2:$B$893,B46,Calculation_Data!$C$2:$C$893,"&gt;0",Calculation_Data!$D$2:$D$893,"&gt;=0")</x:f>
        <x:v>9</x:v>
      </x:c>
      <x:c r="H46" s="8" t="n">
        <x:f>IF(G46=0,"",SUMIFS(Calculation_Data!$D$2:$D$893,Calculation_Data!$A$2:$A$893,A46,Calculation_Data!$B$2:$B$893,B46,Calculation_Data!$C$2:$C$893,"&gt;0")/G46)</x:f>
        <x:v>2.2222222222222223</x:v>
      </x:c>
      <x:c r="I46" t="str">
        <x:f>IF(G46=0,"",COUNTIFS(Calculation_Data!$A$2:$A$893,A46,Calculation_Data!$B$2:$B$893,B46,Calculation_Data!$C$2:$C$893,"&gt;0",Calculation_Data!$D$2:$D$893,"&gt;=3")&amp;"/"&amp;G46&amp;" ("&amp;TEXT(COUNTIFS(Calculation_Data!$A$2:$A$893,A46,Calculation_Data!$B$2:$B$893,B46,Calculation_Data!$C$2:$C$893,"&gt;0",Calculation_Data!$D$2:$D$893,"&gt;=3")/G46,"0.0%")&amp;")")</x:f>
        <x:v>4/9 (44.4%)</x:v>
      </x:c>
      <x:c r="J46" t="n">
        <x:f>IF(D46="","",1+COUNTIFS($A$2:$A$84,A46,$D$2:$D$84,"&gt;"&amp;D46))</x:f>
        <x:v>2</x:v>
      </x:c>
      <x:c r="K46" t="n">
        <x:f>IF(H46="","",1+COUNTIFS($A$2:$A$84,A46,$H$2:$H$84,"&gt;"&amp;H46))</x:f>
        <x:v>4</x:v>
      </x:c>
    </x:row>
    <x:row r="47">
      <x:c r="A47" s="5" t="str">
        <x:v>Working Memory Limitations</x:v>
      </x:c>
      <x:c r="B47" s="5" t="str">
        <x:v>Following step-by-step reasoning or multi-stage logic can be difficult.</x:v>
      </x:c>
      <x:c r="C47" t="n">
        <x:f>COUNTIFS(Calculation_Data!$A$2:$A$893,A47,Calculation_Data!$B$2:$B$893,B47,Calculation_Data!$C$2:$C$893,"&gt;=0")</x:f>
        <x:v>10</x:v>
      </x:c>
      <x:c r="D47" s="8" t="n">
        <x:f>IF(C47=0,"",SUMIFS(Calculation_Data!$C$2:$C$893,Calculation_Data!$A$2:$A$893,A47,Calculation_Data!$B$2:$B$893,B47)/C47)</x:f>
        <x:v>1.7</x:v>
      </x:c>
      <x:c r="E47" t="str">
        <x:f>IF(C47=0,"",COUNTIFS(Calculation_Data!$A$2:$A$893,A47,Calculation_Data!$B$2:$B$893,B47,Calculation_Data!$C$2:$C$893,"&gt;=3")&amp;"/"&amp;C47&amp;" ("&amp;TEXT(COUNTIFS(Calculation_Data!$A$2:$A$893,A47,Calculation_Data!$B$2:$B$893,B47,Calculation_Data!$C$2:$C$893,"&gt;=3")/C47,"0.0%")&amp;")")</x:f>
        <x:v>3/10 (30.0%)</x:v>
      </x:c>
      <x:c r="F47" t="str">
        <x:f>IF(C47=0,"",COUNTIFS(Calculation_Data!$A$2:$A$893,A47,Calculation_Data!$B$2:$B$893,B47,Calculation_Data!$C$2:$C$893,"&gt;0")&amp;"/"&amp;C47&amp;" ("&amp;TEXT(COUNTIFS(Calculation_Data!$A$2:$A$893,A47,Calculation_Data!$B$2:$B$893,B47,Calculation_Data!$C$2:$C$893,"&gt;0")/C47,"0.0%")&amp;")")</x:f>
        <x:v>8/10 (80.0%)</x:v>
      </x:c>
      <x:c r="G47" t="n">
        <x:f>COUNTIFS(Calculation_Data!$A$2:$A$893,A47,Calculation_Data!$B$2:$B$893,B47,Calculation_Data!$C$2:$C$893,"&gt;0",Calculation_Data!$D$2:$D$893,"&gt;=0")</x:f>
        <x:v>8</x:v>
      </x:c>
      <x:c r="H47" s="8" t="n">
        <x:f>IF(G47=0,"",SUMIFS(Calculation_Data!$D$2:$D$893,Calculation_Data!$A$2:$A$893,A47,Calculation_Data!$B$2:$B$893,B47,Calculation_Data!$C$2:$C$893,"&gt;0")/G47)</x:f>
        <x:v>1.375</x:v>
      </x:c>
      <x:c r="I47" t="str">
        <x:f>IF(G47=0,"",COUNTIFS(Calculation_Data!$A$2:$A$893,A47,Calculation_Data!$B$2:$B$893,B47,Calculation_Data!$C$2:$C$893,"&gt;0",Calculation_Data!$D$2:$D$893,"&gt;=3")&amp;"/"&amp;G47&amp;" ("&amp;TEXT(COUNTIFS(Calculation_Data!$A$2:$A$893,A47,Calculation_Data!$B$2:$B$893,B47,Calculation_Data!$C$2:$C$893,"&gt;0",Calculation_Data!$D$2:$D$893,"&gt;=3")/G47,"0.0%")&amp;")")</x:f>
        <x:v>1/8 (12.5%)</x:v>
      </x:c>
      <x:c r="J47" t="n">
        <x:f>IF(D47="","",1+COUNTIFS($A$2:$A$84,A47,$D$2:$D$84,"&gt;"&amp;D47))</x:f>
        <x:v>14</x:v>
      </x:c>
      <x:c r="K47" t="n">
        <x:f>IF(H47="","",1+COUNTIFS($A$2:$A$84,A47,$H$2:$H$84,"&gt;"&amp;H47))</x:f>
        <x:v>15</x:v>
      </x:c>
    </x:row>
    <x:row r="48">
      <x:c r="A48" s="5" t="str">
        <x:v>Working Memory Limitations</x:v>
      </x:c>
      <x:c r="B48" s="5" t="str">
        <x:v>Remembering several steps in calculations, formulas, or processes can be challenging.</x:v>
      </x:c>
      <x:c r="C48" t="n">
        <x:f>COUNTIFS(Calculation_Data!$A$2:$A$893,A48,Calculation_Data!$B$2:$B$893,B48,Calculation_Data!$C$2:$C$893,"&gt;=0")</x:f>
        <x:v>11</x:v>
      </x:c>
      <x:c r="D48" s="8" t="n">
        <x:f>IF(C48=0,"",SUMIFS(Calculation_Data!$C$2:$C$893,Calculation_Data!$A$2:$A$893,A48,Calculation_Data!$B$2:$B$893,B48)/C48)</x:f>
        <x:v>2</x:v>
      </x:c>
      <x:c r="E48" t="str">
        <x:f>IF(C48=0,"",COUNTIFS(Calculation_Data!$A$2:$A$893,A48,Calculation_Data!$B$2:$B$893,B48,Calculation_Data!$C$2:$C$893,"&gt;=3")&amp;"/"&amp;C48&amp;" ("&amp;TEXT(COUNTIFS(Calculation_Data!$A$2:$A$893,A48,Calculation_Data!$B$2:$B$893,B48,Calculation_Data!$C$2:$C$893,"&gt;=3")/C48,"0.0%")&amp;")")</x:f>
        <x:v>4/11 (36.4%)</x:v>
      </x:c>
      <x:c r="F48" t="str">
        <x:f>IF(C48=0,"",COUNTIFS(Calculation_Data!$A$2:$A$893,A48,Calculation_Data!$B$2:$B$893,B48,Calculation_Data!$C$2:$C$893,"&gt;0")&amp;"/"&amp;C48&amp;" ("&amp;TEXT(COUNTIFS(Calculation_Data!$A$2:$A$893,A48,Calculation_Data!$B$2:$B$893,B48,Calculation_Data!$C$2:$C$893,"&gt;0")/C48,"0.0%")&amp;")")</x:f>
        <x:v>10/11 (90.9%)</x:v>
      </x:c>
      <x:c r="G48" t="n">
        <x:f>COUNTIFS(Calculation_Data!$A$2:$A$893,A48,Calculation_Data!$B$2:$B$893,B48,Calculation_Data!$C$2:$C$893,"&gt;0",Calculation_Data!$D$2:$D$893,"&gt;=0")</x:f>
        <x:v>10</x:v>
      </x:c>
      <x:c r="H48" s="8" t="n">
        <x:f>IF(G48=0,"",SUMIFS(Calculation_Data!$D$2:$D$893,Calculation_Data!$A$2:$A$893,A48,Calculation_Data!$B$2:$B$893,B48,Calculation_Data!$C$2:$C$893,"&gt;0")/G48)</x:f>
        <x:v>1.5</x:v>
      </x:c>
      <x:c r="I48" t="str">
        <x:f>IF(G48=0,"",COUNTIFS(Calculation_Data!$A$2:$A$893,A48,Calculation_Data!$B$2:$B$893,B48,Calculation_Data!$C$2:$C$893,"&gt;0",Calculation_Data!$D$2:$D$893,"&gt;=3")&amp;"/"&amp;G48&amp;" ("&amp;TEXT(COUNTIFS(Calculation_Data!$A$2:$A$893,A48,Calculation_Data!$B$2:$B$893,B48,Calculation_Data!$C$2:$C$893,"&gt;0",Calculation_Data!$D$2:$D$893,"&gt;=3")/G48,"0.0%")&amp;")")</x:f>
        <x:v>2/10 (20.0%)</x:v>
      </x:c>
      <x:c r="J48" t="n">
        <x:f>IF(D48="","",1+COUNTIFS($A$2:$A$84,A48,$D$2:$D$84,"&gt;"&amp;D48))</x:f>
        <x:v>10</x:v>
      </x:c>
      <x:c r="K48" t="n">
        <x:f>IF(H48="","",1+COUNTIFS($A$2:$A$84,A48,$H$2:$H$84,"&gt;"&amp;H48))</x:f>
        <x:v>14</x:v>
      </x:c>
    </x:row>
    <x:row r="49">
      <x:c r="A49" s="5" t="str">
        <x:v>Working Memory Limitations</x:v>
      </x:c>
      <x:c r="B49" s="5" t="str">
        <x:v>Learning a new programming language can be harder because there is a lot to remember at once.</x:v>
      </x:c>
      <x:c r="C49" t="n">
        <x:f>COUNTIFS(Calculation_Data!$A$2:$A$893,A49,Calculation_Data!$B$2:$B$893,B49,Calculation_Data!$C$2:$C$893,"&gt;=0")</x:f>
        <x:v>10</x:v>
      </x:c>
      <x:c r="D49" s="8" t="n">
        <x:f>IF(C49=0,"",SUMIFS(Calculation_Data!$C$2:$C$893,Calculation_Data!$A$2:$A$893,A49,Calculation_Data!$B$2:$B$893,B49)/C49)</x:f>
        <x:v>1.9</x:v>
      </x:c>
      <x:c r="E49" t="str">
        <x:f>IF(C49=0,"",COUNTIFS(Calculation_Data!$A$2:$A$893,A49,Calculation_Data!$B$2:$B$893,B49,Calculation_Data!$C$2:$C$893,"&gt;=3")&amp;"/"&amp;C49&amp;" ("&amp;TEXT(COUNTIFS(Calculation_Data!$A$2:$A$893,A49,Calculation_Data!$B$2:$B$893,B49,Calculation_Data!$C$2:$C$893,"&gt;=3")/C49,"0.0%")&amp;")")</x:f>
        <x:v>4/10 (40.0%)</x:v>
      </x:c>
      <x:c r="F49" t="str">
        <x:f>IF(C49=0,"",COUNTIFS(Calculation_Data!$A$2:$A$893,A49,Calculation_Data!$B$2:$B$893,B49,Calculation_Data!$C$2:$C$893,"&gt;0")&amp;"/"&amp;C49&amp;" ("&amp;TEXT(COUNTIFS(Calculation_Data!$A$2:$A$893,A49,Calculation_Data!$B$2:$B$893,B49,Calculation_Data!$C$2:$C$893,"&gt;0")/C49,"0.0%")&amp;")")</x:f>
        <x:v>8/10 (80.0%)</x:v>
      </x:c>
      <x:c r="G49" t="n">
        <x:f>COUNTIFS(Calculation_Data!$A$2:$A$893,A49,Calculation_Data!$B$2:$B$893,B49,Calculation_Data!$C$2:$C$893,"&gt;0",Calculation_Data!$D$2:$D$893,"&gt;=0")</x:f>
        <x:v>8</x:v>
      </x:c>
      <x:c r="H49" s="8" t="n">
        <x:f>IF(G49=0,"",SUMIFS(Calculation_Data!$D$2:$D$893,Calculation_Data!$A$2:$A$893,A49,Calculation_Data!$B$2:$B$893,B49,Calculation_Data!$C$2:$C$893,"&gt;0")/G49)</x:f>
        <x:v>2.375</x:v>
      </x:c>
      <x:c r="I49" t="str">
        <x:f>IF(G49=0,"",COUNTIFS(Calculation_Data!$A$2:$A$893,A49,Calculation_Data!$B$2:$B$893,B49,Calculation_Data!$C$2:$C$893,"&gt;0",Calculation_Data!$D$2:$D$893,"&gt;=3")&amp;"/"&amp;G49&amp;" ("&amp;TEXT(COUNTIFS(Calculation_Data!$A$2:$A$893,A49,Calculation_Data!$B$2:$B$893,B49,Calculation_Data!$C$2:$C$893,"&gt;0",Calculation_Data!$D$2:$D$893,"&gt;=3")/G49,"0.0%")&amp;")")</x:f>
        <x:v>4/8 (50.0%)</x:v>
      </x:c>
      <x:c r="J49" t="n">
        <x:f>IF(D49="","",1+COUNTIFS($A$2:$A$84,A49,$D$2:$D$84,"&gt;"&amp;D49))</x:f>
        <x:v>11</x:v>
      </x:c>
      <x:c r="K49" t="n">
        <x:f>IF(H49="","",1+COUNTIFS($A$2:$A$84,A49,$H$2:$H$84,"&gt;"&amp;H49))</x:f>
        <x:v>2</x:v>
      </x:c>
    </x:row>
    <x:row r="50">
      <x:c r="A50" s="5" t="str">
        <x:v>Working Memory Limitations</x:v>
      </x:c>
      <x:c r="B50" s="5" t="str">
        <x:v>Understanding new material often requires repetition or visual aids.</x:v>
      </x:c>
      <x:c r="C50" t="n">
        <x:f>COUNTIFS(Calculation_Data!$A$2:$A$893,A50,Calculation_Data!$B$2:$B$893,B50,Calculation_Data!$C$2:$C$893,"&gt;=0")</x:f>
        <x:v>11</x:v>
      </x:c>
      <x:c r="D50" s="8" t="n">
        <x:f>IF(C50=0,"",SUMIFS(Calculation_Data!$C$2:$C$893,Calculation_Data!$A$2:$A$893,A50,Calculation_Data!$B$2:$B$893,B50)/C50)</x:f>
        <x:v>2.4545454545454546</x:v>
      </x:c>
      <x:c r="E50" t="str">
        <x:f>IF(C50=0,"",COUNTIFS(Calculation_Data!$A$2:$A$893,A50,Calculation_Data!$B$2:$B$893,B50,Calculation_Data!$C$2:$C$893,"&gt;=3")&amp;"/"&amp;C50&amp;" ("&amp;TEXT(COUNTIFS(Calculation_Data!$A$2:$A$893,A50,Calculation_Data!$B$2:$B$893,B50,Calculation_Data!$C$2:$C$893,"&gt;=3")/C50,"0.0%")&amp;")")</x:f>
        <x:v>7/11 (63.6%)</x:v>
      </x:c>
      <x:c r="F50" t="str">
        <x:f>IF(C50=0,"",COUNTIFS(Calculation_Data!$A$2:$A$893,A50,Calculation_Data!$B$2:$B$893,B50,Calculation_Data!$C$2:$C$893,"&gt;0")&amp;"/"&amp;C50&amp;" ("&amp;TEXT(COUNTIFS(Calculation_Data!$A$2:$A$893,A50,Calculation_Data!$B$2:$B$893,B50,Calculation_Data!$C$2:$C$893,"&gt;0")/C50,"0.0%")&amp;")")</x:f>
        <x:v>9/11 (81.8%)</x:v>
      </x:c>
      <x:c r="G50" t="n">
        <x:f>COUNTIFS(Calculation_Data!$A$2:$A$893,A50,Calculation_Data!$B$2:$B$893,B50,Calculation_Data!$C$2:$C$893,"&gt;0",Calculation_Data!$D$2:$D$893,"&gt;=0")</x:f>
        <x:v>9</x:v>
      </x:c>
      <x:c r="H50" s="8" t="n">
        <x:f>IF(G50=0,"",SUMIFS(Calculation_Data!$D$2:$D$893,Calculation_Data!$A$2:$A$893,A50,Calculation_Data!$B$2:$B$893,B50,Calculation_Data!$C$2:$C$893,"&gt;0")/G50)</x:f>
        <x:v>2.4444444444444446</x:v>
      </x:c>
      <x:c r="I50" t="str">
        <x:f>IF(G50=0,"",COUNTIFS(Calculation_Data!$A$2:$A$893,A50,Calculation_Data!$B$2:$B$893,B50,Calculation_Data!$C$2:$C$893,"&gt;0",Calculation_Data!$D$2:$D$893,"&gt;=3")&amp;"/"&amp;G50&amp;" ("&amp;TEXT(COUNTIFS(Calculation_Data!$A$2:$A$893,A50,Calculation_Data!$B$2:$B$893,B50,Calculation_Data!$C$2:$C$893,"&gt;0",Calculation_Data!$D$2:$D$893,"&gt;=3")/G50,"0.0%")&amp;")")</x:f>
        <x:v>4/9 (44.4%)</x:v>
      </x:c>
      <x:c r="J50" t="n">
        <x:f>IF(D50="","",1+COUNTIFS($A$2:$A$84,A50,$D$2:$D$84,"&gt;"&amp;D50))</x:f>
        <x:v>4</x:v>
      </x:c>
      <x:c r="K50" t="n">
        <x:f>IF(H50="","",1+COUNTIFS($A$2:$A$84,A50,$H$2:$H$84,"&gt;"&amp;H50))</x:f>
        <x:v>1</x:v>
      </x:c>
    </x:row>
    <x:row r="51">
      <x:c r="A51" s="5" t="str">
        <x:v>Working Memory Limitations</x:v>
      </x:c>
      <x:c r="B51" s="5" t="str">
        <x:v>Turning a mental idea or design into working code can require extra effort.</x:v>
      </x:c>
      <x:c r="C51" t="n">
        <x:f>COUNTIFS(Calculation_Data!$A$2:$A$893,A51,Calculation_Data!$B$2:$B$893,B51,Calculation_Data!$C$2:$C$893,"&gt;=0")</x:f>
        <x:v>10</x:v>
      </x:c>
      <x:c r="D51" s="8" t="n">
        <x:f>IF(C51=0,"",SUMIFS(Calculation_Data!$C$2:$C$893,Calculation_Data!$A$2:$A$893,A51,Calculation_Data!$B$2:$B$893,B51)/C51)</x:f>
        <x:v>1.6</x:v>
      </x:c>
      <x:c r="E51" t="str">
        <x:f>IF(C51=0,"",COUNTIFS(Calculation_Data!$A$2:$A$893,A51,Calculation_Data!$B$2:$B$893,B51,Calculation_Data!$C$2:$C$893,"&gt;=3")&amp;"/"&amp;C51&amp;" ("&amp;TEXT(COUNTIFS(Calculation_Data!$A$2:$A$893,A51,Calculation_Data!$B$2:$B$893,B51,Calculation_Data!$C$2:$C$893,"&gt;=3")/C51,"0.0%")&amp;")")</x:f>
        <x:v>3/10 (30.0%)</x:v>
      </x:c>
      <x:c r="F51" t="str">
        <x:f>IF(C51=0,"",COUNTIFS(Calculation_Data!$A$2:$A$893,A51,Calculation_Data!$B$2:$B$893,B51,Calculation_Data!$C$2:$C$893,"&gt;0")&amp;"/"&amp;C51&amp;" ("&amp;TEXT(COUNTIFS(Calculation_Data!$A$2:$A$893,A51,Calculation_Data!$B$2:$B$893,B51,Calculation_Data!$C$2:$C$893,"&gt;0")/C51,"0.0%")&amp;")")</x:f>
        <x:v>8/10 (80.0%)</x:v>
      </x:c>
      <x:c r="G51" t="n">
        <x:f>COUNTIFS(Calculation_Data!$A$2:$A$893,A51,Calculation_Data!$B$2:$B$893,B51,Calculation_Data!$C$2:$C$893,"&gt;0",Calculation_Data!$D$2:$D$893,"&gt;=0")</x:f>
        <x:v>8</x:v>
      </x:c>
      <x:c r="H51" s="8" t="n">
        <x:f>IF(G51=0,"",SUMIFS(Calculation_Data!$D$2:$D$893,Calculation_Data!$A$2:$A$893,A51,Calculation_Data!$B$2:$B$893,B51,Calculation_Data!$C$2:$C$893,"&gt;0")/G51)</x:f>
        <x:v>1.75</x:v>
      </x:c>
      <x:c r="I51" t="str">
        <x:f>IF(G51=0,"",COUNTIFS(Calculation_Data!$A$2:$A$893,A51,Calculation_Data!$B$2:$B$893,B51,Calculation_Data!$C$2:$C$893,"&gt;0",Calculation_Data!$D$2:$D$893,"&gt;=3")&amp;"/"&amp;G51&amp;" ("&amp;TEXT(COUNTIFS(Calculation_Data!$A$2:$A$893,A51,Calculation_Data!$B$2:$B$893,B51,Calculation_Data!$C$2:$C$893,"&gt;0",Calculation_Data!$D$2:$D$893,"&gt;=3")/G51,"0.0%")&amp;")")</x:f>
        <x:v>2/8 (25.0%)</x:v>
      </x:c>
      <x:c r="J51" t="n">
        <x:f>IF(D51="","",1+COUNTIFS($A$2:$A$84,A51,$D$2:$D$84,"&gt;"&amp;D51))</x:f>
        <x:v>15</x:v>
      </x:c>
      <x:c r="K51" t="n">
        <x:f>IF(H51="","",1+COUNTIFS($A$2:$A$84,A51,$H$2:$H$84,"&gt;"&amp;H51))</x:f>
        <x:v>10</x:v>
      </x:c>
    </x:row>
    <x:row r="52">
      <x:c r="A52" s="5" t="str">
        <x:v>Working Memory Limitations</x:v>
      </x:c>
      <x:c r="B52" s="5" t="str">
        <x:v>It is easy to forget information that was just read or seen while working on a task.</x:v>
      </x:c>
      <x:c r="C52" t="n">
        <x:f>COUNTIFS(Calculation_Data!$A$2:$A$893,A52,Calculation_Data!$B$2:$B$893,B52,Calculation_Data!$C$2:$C$893,"&gt;=0")</x:f>
        <x:v>10</x:v>
      </x:c>
      <x:c r="D52" s="8" t="n">
        <x:f>IF(C52=0,"",SUMIFS(Calculation_Data!$C$2:$C$893,Calculation_Data!$A$2:$A$893,A52,Calculation_Data!$B$2:$B$893,B52)/C52)</x:f>
        <x:v>2.2</x:v>
      </x:c>
      <x:c r="E52" t="str">
        <x:f>IF(C52=0,"",COUNTIFS(Calculation_Data!$A$2:$A$893,A52,Calculation_Data!$B$2:$B$893,B52,Calculation_Data!$C$2:$C$893,"&gt;=3")&amp;"/"&amp;C52&amp;" ("&amp;TEXT(COUNTIFS(Calculation_Data!$A$2:$A$893,A52,Calculation_Data!$B$2:$B$893,B52,Calculation_Data!$C$2:$C$893,"&gt;=3")/C52,"0.0%")&amp;")")</x:f>
        <x:v>5/10 (50.0%)</x:v>
      </x:c>
      <x:c r="F52" t="str">
        <x:f>IF(C52=0,"",COUNTIFS(Calculation_Data!$A$2:$A$893,A52,Calculation_Data!$B$2:$B$893,B52,Calculation_Data!$C$2:$C$893,"&gt;0")&amp;"/"&amp;C52&amp;" ("&amp;TEXT(COUNTIFS(Calculation_Data!$A$2:$A$893,A52,Calculation_Data!$B$2:$B$893,B52,Calculation_Data!$C$2:$C$893,"&gt;0")/C52,"0.0%")&amp;")")</x:f>
        <x:v>9/10 (90.0%)</x:v>
      </x:c>
      <x:c r="G52" t="n">
        <x:f>COUNTIFS(Calculation_Data!$A$2:$A$893,A52,Calculation_Data!$B$2:$B$893,B52,Calculation_Data!$C$2:$C$893,"&gt;0",Calculation_Data!$D$2:$D$893,"&gt;=0")</x:f>
        <x:v>9</x:v>
      </x:c>
      <x:c r="H52" s="8" t="n">
        <x:f>IF(G52=0,"",SUMIFS(Calculation_Data!$D$2:$D$893,Calculation_Data!$A$2:$A$893,A52,Calculation_Data!$B$2:$B$893,B52,Calculation_Data!$C$2:$C$893,"&gt;0")/G52)</x:f>
        <x:v>1.8888888888888888</x:v>
      </x:c>
      <x:c r="I52" t="str">
        <x:f>IF(G52=0,"",COUNTIFS(Calculation_Data!$A$2:$A$893,A52,Calculation_Data!$B$2:$B$893,B52,Calculation_Data!$C$2:$C$893,"&gt;0",Calculation_Data!$D$2:$D$893,"&gt;=3")&amp;"/"&amp;G52&amp;" ("&amp;TEXT(COUNTIFS(Calculation_Data!$A$2:$A$893,A52,Calculation_Data!$B$2:$B$893,B52,Calculation_Data!$C$2:$C$893,"&gt;0",Calculation_Data!$D$2:$D$893,"&gt;=3")/G52,"0.0%")&amp;")")</x:f>
        <x:v>2/9 (22.2%)</x:v>
      </x:c>
      <x:c r="J52" t="n">
        <x:f>IF(D52="","",1+COUNTIFS($A$2:$A$84,A52,$D$2:$D$84,"&gt;"&amp;D52))</x:f>
        <x:v>8</x:v>
      </x:c>
      <x:c r="K52" t="n">
        <x:f>IF(H52="","",1+COUNTIFS($A$2:$A$84,A52,$H$2:$H$84,"&gt;"&amp;H52))</x:f>
        <x:v>8</x:v>
      </x:c>
    </x:row>
    <x:row r="53">
      <x:c r="A53" s="5" t="str">
        <x:v>Working Memory Limitations</x:v>
      </x:c>
      <x:c r="B53" s="5" t="str">
        <x:v>Tasks that require holding a lot of information in mind can slow down progress.</x:v>
      </x:c>
      <x:c r="C53" t="n">
        <x:f>COUNTIFS(Calculation_Data!$A$2:$A$893,A53,Calculation_Data!$B$2:$B$893,B53,Calculation_Data!$C$2:$C$893,"&gt;=0")</x:f>
        <x:v>11</x:v>
      </x:c>
      <x:c r="D53" s="8" t="n">
        <x:f>IF(C53=0,"",SUMIFS(Calculation_Data!$C$2:$C$893,Calculation_Data!$A$2:$A$893,A53,Calculation_Data!$B$2:$B$893,B53)/C53)</x:f>
        <x:v>2.6363636363636362</x:v>
      </x:c>
      <x:c r="E53" t="str">
        <x:f>IF(C53=0,"",COUNTIFS(Calculation_Data!$A$2:$A$893,A53,Calculation_Data!$B$2:$B$893,B53,Calculation_Data!$C$2:$C$893,"&gt;=3")&amp;"/"&amp;C53&amp;" ("&amp;TEXT(COUNTIFS(Calculation_Data!$A$2:$A$893,A53,Calculation_Data!$B$2:$B$893,B53,Calculation_Data!$C$2:$C$893,"&gt;=3")/C53,"0.0%")&amp;")")</x:f>
        <x:v>7/11 (63.6%)</x:v>
      </x:c>
      <x:c r="F53" t="str">
        <x:f>IF(C53=0,"",COUNTIFS(Calculation_Data!$A$2:$A$893,A53,Calculation_Data!$B$2:$B$893,B53,Calculation_Data!$C$2:$C$893,"&gt;0")&amp;"/"&amp;C53&amp;" ("&amp;TEXT(COUNTIFS(Calculation_Data!$A$2:$A$893,A53,Calculation_Data!$B$2:$B$893,B53,Calculation_Data!$C$2:$C$893,"&gt;0")/C53,"0.0%")&amp;")")</x:f>
        <x:v>11/11 (100.0%)</x:v>
      </x:c>
      <x:c r="G53" t="n">
        <x:f>COUNTIFS(Calculation_Data!$A$2:$A$893,A53,Calculation_Data!$B$2:$B$893,B53,Calculation_Data!$C$2:$C$893,"&gt;0",Calculation_Data!$D$2:$D$893,"&gt;=0")</x:f>
        <x:v>11</x:v>
      </x:c>
      <x:c r="H53" s="8" t="n">
        <x:f>IF(G53=0,"",SUMIFS(Calculation_Data!$D$2:$D$893,Calculation_Data!$A$2:$A$893,A53,Calculation_Data!$B$2:$B$893,B53,Calculation_Data!$C$2:$C$893,"&gt;0")/G53)</x:f>
        <x:v>1.7272727272727273</x:v>
      </x:c>
      <x:c r="I53" t="str">
        <x:f>IF(G53=0,"",COUNTIFS(Calculation_Data!$A$2:$A$893,A53,Calculation_Data!$B$2:$B$893,B53,Calculation_Data!$C$2:$C$893,"&gt;0",Calculation_Data!$D$2:$D$893,"&gt;=3")&amp;"/"&amp;G53&amp;" ("&amp;TEXT(COUNTIFS(Calculation_Data!$A$2:$A$893,A53,Calculation_Data!$B$2:$B$893,B53,Calculation_Data!$C$2:$C$893,"&gt;0",Calculation_Data!$D$2:$D$893,"&gt;=3")/G53,"0.0%")&amp;")")</x:f>
        <x:v>2/11 (18.2%)</x:v>
      </x:c>
      <x:c r="J53" t="n">
        <x:f>IF(D53="","",1+COUNTIFS($A$2:$A$84,A53,$D$2:$D$84,"&gt;"&amp;D53))</x:f>
        <x:v>3</x:v>
      </x:c>
      <x:c r="K53" t="n">
        <x:f>IF(H53="","",1+COUNTIFS($A$2:$A$84,A53,$H$2:$H$84,"&gt;"&amp;H53))</x:f>
        <x:v>12</x:v>
      </x:c>
    </x:row>
    <x:row r="54">
      <x:c r="A54" s="5" t="str">
        <x:v>Working Memory Limitations</x:v>
      </x:c>
      <x:c r="B54" s="5" t="str">
        <x:v>Tracking file paths, directories, or system states across multiple files can be difficult.</x:v>
      </x:c>
      <x:c r="C54" t="n">
        <x:f>COUNTIFS(Calculation_Data!$A$2:$A$893,A54,Calculation_Data!$B$2:$B$893,B54,Calculation_Data!$C$2:$C$893,"&gt;=0")</x:f>
        <x:v>11</x:v>
      </x:c>
      <x:c r="D54" s="8" t="n">
        <x:f>IF(C54=0,"",SUMIFS(Calculation_Data!$C$2:$C$893,Calculation_Data!$A$2:$A$893,A54,Calculation_Data!$B$2:$B$893,B54)/C54)</x:f>
        <x:v>2.1818181818181817</x:v>
      </x:c>
      <x:c r="E54" t="str">
        <x:f>IF(C54=0,"",COUNTIFS(Calculation_Data!$A$2:$A$893,A54,Calculation_Data!$B$2:$B$893,B54,Calculation_Data!$C$2:$C$893,"&gt;=3")&amp;"/"&amp;C54&amp;" ("&amp;TEXT(COUNTIFS(Calculation_Data!$A$2:$A$893,A54,Calculation_Data!$B$2:$B$893,B54,Calculation_Data!$C$2:$C$893,"&gt;=3")/C54,"0.0%")&amp;")")</x:f>
        <x:v>5/11 (45.5%)</x:v>
      </x:c>
      <x:c r="F54" t="str">
        <x:f>IF(C54=0,"",COUNTIFS(Calculation_Data!$A$2:$A$893,A54,Calculation_Data!$B$2:$B$893,B54,Calculation_Data!$C$2:$C$893,"&gt;0")&amp;"/"&amp;C54&amp;" ("&amp;TEXT(COUNTIFS(Calculation_Data!$A$2:$A$893,A54,Calculation_Data!$B$2:$B$893,B54,Calculation_Data!$C$2:$C$893,"&gt;0")/C54,"0.0%")&amp;")")</x:f>
        <x:v>9/11 (81.8%)</x:v>
      </x:c>
      <x:c r="G54" t="n">
        <x:f>COUNTIFS(Calculation_Data!$A$2:$A$893,A54,Calculation_Data!$B$2:$B$893,B54,Calculation_Data!$C$2:$C$893,"&gt;0",Calculation_Data!$D$2:$D$893,"&gt;=0")</x:f>
        <x:v>9</x:v>
      </x:c>
      <x:c r="H54" s="8" t="n">
        <x:f>IF(G54=0,"",SUMIFS(Calculation_Data!$D$2:$D$893,Calculation_Data!$A$2:$A$893,A54,Calculation_Data!$B$2:$B$893,B54,Calculation_Data!$C$2:$C$893,"&gt;0")/G54)</x:f>
        <x:v>2</x:v>
      </x:c>
      <x:c r="I54" t="str">
        <x:f>IF(G54=0,"",COUNTIFS(Calculation_Data!$A$2:$A$893,A54,Calculation_Data!$B$2:$B$893,B54,Calculation_Data!$C$2:$C$893,"&gt;0",Calculation_Data!$D$2:$D$893,"&gt;=3")&amp;"/"&amp;G54&amp;" ("&amp;TEXT(COUNTIFS(Calculation_Data!$A$2:$A$893,A54,Calculation_Data!$B$2:$B$893,B54,Calculation_Data!$C$2:$C$893,"&gt;0",Calculation_Data!$D$2:$D$893,"&gt;=3")/G54,"0.0%")&amp;")")</x:f>
        <x:v>4/9 (44.4%)</x:v>
      </x:c>
      <x:c r="J54" t="n">
        <x:f>IF(D54="","",1+COUNTIFS($A$2:$A$84,A54,$D$2:$D$84,"&gt;"&amp;D54))</x:f>
        <x:v>9</x:v>
      </x:c>
      <x:c r="K54" t="n">
        <x:f>IF(H54="","",1+COUNTIFS($A$2:$A$84,A54,$H$2:$H$84,"&gt;"&amp;H54))</x:f>
        <x:v>6</x:v>
      </x:c>
    </x:row>
    <x:row r="55">
      <x:c r="A55" s="5" t="str">
        <x:v>Analytical Thinking &amp; Problem Solving</x:v>
      </x:c>
      <x:c r="B55" s="5" t="str">
        <x:v>Working through problems step by step can sometimes be difficult.</x:v>
      </x:c>
      <x:c r="C55" t="n">
        <x:f>COUNTIFS(Calculation_Data!$A$2:$A$893,A55,Calculation_Data!$B$2:$B$893,B55,Calculation_Data!$C$2:$C$893,"&gt;=0")</x:f>
        <x:v>8</x:v>
      </x:c>
      <x:c r="D55" s="8" t="n">
        <x:f>IF(C55=0,"",SUMIFS(Calculation_Data!$C$2:$C$893,Calculation_Data!$A$2:$A$893,A55,Calculation_Data!$B$2:$B$893,B55)/C55)</x:f>
        <x:v>1</x:v>
      </x:c>
      <x:c r="E55" t="str">
        <x:f>IF(C55=0,"",COUNTIFS(Calculation_Data!$A$2:$A$893,A55,Calculation_Data!$B$2:$B$893,B55,Calculation_Data!$C$2:$C$893,"&gt;=3")&amp;"/"&amp;C55&amp;" ("&amp;TEXT(COUNTIFS(Calculation_Data!$A$2:$A$893,A55,Calculation_Data!$B$2:$B$893,B55,Calculation_Data!$C$2:$C$893,"&gt;=3")/C55,"0.0%")&amp;")")</x:f>
        <x:v>0/8 (0.0%)</x:v>
      </x:c>
      <x:c r="F55" t="str">
        <x:f>IF(C55=0,"",COUNTIFS(Calculation_Data!$A$2:$A$893,A55,Calculation_Data!$B$2:$B$893,B55,Calculation_Data!$C$2:$C$893,"&gt;0")&amp;"/"&amp;C55&amp;" ("&amp;TEXT(COUNTIFS(Calculation_Data!$A$2:$A$893,A55,Calculation_Data!$B$2:$B$893,B55,Calculation_Data!$C$2:$C$893,"&gt;0")/C55,"0.0%")&amp;")")</x:f>
        <x:v>5/8 (62.5%)</x:v>
      </x:c>
      <x:c r="G55" t="n">
        <x:f>COUNTIFS(Calculation_Data!$A$2:$A$893,A55,Calculation_Data!$B$2:$B$893,B55,Calculation_Data!$C$2:$C$893,"&gt;0",Calculation_Data!$D$2:$D$893,"&gt;=0")</x:f>
        <x:v>5</x:v>
      </x:c>
      <x:c r="H55" s="8" t="n">
        <x:f>IF(G55=0,"",SUMIFS(Calculation_Data!$D$2:$D$893,Calculation_Data!$A$2:$A$893,A55,Calculation_Data!$B$2:$B$893,B55,Calculation_Data!$C$2:$C$893,"&gt;0")/G55)</x:f>
        <x:v>1</x:v>
      </x:c>
      <x:c r="I55" t="str">
        <x:f>IF(G55=0,"",COUNTIFS(Calculation_Data!$A$2:$A$893,A55,Calculation_Data!$B$2:$B$893,B55,Calculation_Data!$C$2:$C$893,"&gt;0",Calculation_Data!$D$2:$D$893,"&gt;=3")&amp;"/"&amp;G55&amp;" ("&amp;TEXT(COUNTIFS(Calculation_Data!$A$2:$A$893,A55,Calculation_Data!$B$2:$B$893,B55,Calculation_Data!$C$2:$C$893,"&gt;0",Calculation_Data!$D$2:$D$893,"&gt;=3")/G55,"0.0%")&amp;")")</x:f>
        <x:v>0/5 (0.0%)</x:v>
      </x:c>
      <x:c r="J55" t="n">
        <x:f>IF(D55="","",1+COUNTIFS($A$2:$A$84,A55,$D$2:$D$84,"&gt;"&amp;D55))</x:f>
        <x:v>9</x:v>
      </x:c>
      <x:c r="K55" t="n">
        <x:f>IF(H55="","",1+COUNTIFS($A$2:$A$84,A55,$H$2:$H$84,"&gt;"&amp;H55))</x:f>
        <x:v>8</x:v>
      </x:c>
    </x:row>
    <x:row r="56">
      <x:c r="A56" s="5" t="str">
        <x:v>Analytical Thinking &amp; Problem Solving</x:v>
      </x:c>
      <x:c r="B56" s="5" t="str">
        <x:v>Understanding how complex systems or architectures work can take extra time.</x:v>
      </x:c>
      <x:c r="C56" t="n">
        <x:f>COUNTIFS(Calculation_Data!$A$2:$A$893,A56,Calculation_Data!$B$2:$B$893,B56,Calculation_Data!$C$2:$C$893,"&gt;=0")</x:f>
        <x:v>9</x:v>
      </x:c>
      <x:c r="D56" s="8" t="n">
        <x:f>IF(C56=0,"",SUMIFS(Calculation_Data!$C$2:$C$893,Calculation_Data!$A$2:$A$893,A56,Calculation_Data!$B$2:$B$893,B56)/C56)</x:f>
        <x:v>1.5555555555555556</x:v>
      </x:c>
      <x:c r="E56" t="str">
        <x:f>IF(C56=0,"",COUNTIFS(Calculation_Data!$A$2:$A$893,A56,Calculation_Data!$B$2:$B$893,B56,Calculation_Data!$C$2:$C$893,"&gt;=3")&amp;"/"&amp;C56&amp;" ("&amp;TEXT(COUNTIFS(Calculation_Data!$A$2:$A$893,A56,Calculation_Data!$B$2:$B$893,B56,Calculation_Data!$C$2:$C$893,"&gt;=3")/C56,"0.0%")&amp;")")</x:f>
        <x:v>3/9 (33.3%)</x:v>
      </x:c>
      <x:c r="F56" t="str">
        <x:f>IF(C56=0,"",COUNTIFS(Calculation_Data!$A$2:$A$893,A56,Calculation_Data!$B$2:$B$893,B56,Calculation_Data!$C$2:$C$893,"&gt;0")&amp;"/"&amp;C56&amp;" ("&amp;TEXT(COUNTIFS(Calculation_Data!$A$2:$A$893,A56,Calculation_Data!$B$2:$B$893,B56,Calculation_Data!$C$2:$C$893,"&gt;0")/C56,"0.0%")&amp;")")</x:f>
        <x:v>6/9 (66.7%)</x:v>
      </x:c>
      <x:c r="G56" t="n">
        <x:f>COUNTIFS(Calculation_Data!$A$2:$A$893,A56,Calculation_Data!$B$2:$B$893,B56,Calculation_Data!$C$2:$C$893,"&gt;0",Calculation_Data!$D$2:$D$893,"&gt;=0")</x:f>
        <x:v>6</x:v>
      </x:c>
      <x:c r="H56" s="8" t="n">
        <x:f>IF(G56=0,"",SUMIFS(Calculation_Data!$D$2:$D$893,Calculation_Data!$A$2:$A$893,A56,Calculation_Data!$B$2:$B$893,B56,Calculation_Data!$C$2:$C$893,"&gt;0")/G56)</x:f>
        <x:v>1.6666666666666667</x:v>
      </x:c>
      <x:c r="I56" t="str">
        <x:f>IF(G56=0,"",COUNTIFS(Calculation_Data!$A$2:$A$893,A56,Calculation_Data!$B$2:$B$893,B56,Calculation_Data!$C$2:$C$893,"&gt;0",Calculation_Data!$D$2:$D$893,"&gt;=3")&amp;"/"&amp;G56&amp;" ("&amp;TEXT(COUNTIFS(Calculation_Data!$A$2:$A$893,A56,Calculation_Data!$B$2:$B$893,B56,Calculation_Data!$C$2:$C$893,"&gt;0",Calculation_Data!$D$2:$D$893,"&gt;=3")/G56,"0.0%")&amp;")")</x:f>
        <x:v>2/6 (33.3%)</x:v>
      </x:c>
      <x:c r="J56" t="n">
        <x:f>IF(D56="","",1+COUNTIFS($A$2:$A$84,A56,$D$2:$D$84,"&gt;"&amp;D56))</x:f>
        <x:v>6</x:v>
      </x:c>
      <x:c r="K56" t="n">
        <x:f>IF(H56="","",1+COUNTIFS($A$2:$A$84,A56,$H$2:$H$84,"&gt;"&amp;H56))</x:f>
        <x:v>2</x:v>
      </x:c>
    </x:row>
    <x:row r="57">
      <x:c r="A57" s="5" t="str">
        <x:v>Analytical Thinking &amp; Problem Solving</x:v>
      </x:c>
      <x:c r="B57" s="5" t="str">
        <x:v>In long or complex methods, it can be easy to lose track of the logic.</x:v>
      </x:c>
      <x:c r="C57" t="n">
        <x:f>COUNTIFS(Calculation_Data!$A$2:$A$893,A57,Calculation_Data!$B$2:$B$893,B57,Calculation_Data!$C$2:$C$893,"&gt;=0")</x:f>
        <x:v>8</x:v>
      </x:c>
      <x:c r="D57" s="8" t="n">
        <x:f>IF(C57=0,"",SUMIFS(Calculation_Data!$C$2:$C$893,Calculation_Data!$A$2:$A$893,A57,Calculation_Data!$B$2:$B$893,B57)/C57)</x:f>
        <x:v>2.125</x:v>
      </x:c>
      <x:c r="E57" t="str">
        <x:f>IF(C57=0,"",COUNTIFS(Calculation_Data!$A$2:$A$893,A57,Calculation_Data!$B$2:$B$893,B57,Calculation_Data!$C$2:$C$893,"&gt;=3")&amp;"/"&amp;C57&amp;" ("&amp;TEXT(COUNTIFS(Calculation_Data!$A$2:$A$893,A57,Calculation_Data!$B$2:$B$893,B57,Calculation_Data!$C$2:$C$893,"&gt;=3")/C57,"0.0%")&amp;")")</x:f>
        <x:v>5/8 (62.5%)</x:v>
      </x:c>
      <x:c r="F57" t="str">
        <x:f>IF(C57=0,"",COUNTIFS(Calculation_Data!$A$2:$A$893,A57,Calculation_Data!$B$2:$B$893,B57,Calculation_Data!$C$2:$C$893,"&gt;0")&amp;"/"&amp;C57&amp;" ("&amp;TEXT(COUNTIFS(Calculation_Data!$A$2:$A$893,A57,Calculation_Data!$B$2:$B$893,B57,Calculation_Data!$C$2:$C$893,"&gt;0")/C57,"0.0%")&amp;")")</x:f>
        <x:v>6/8 (75.0%)</x:v>
      </x:c>
      <x:c r="G57" t="n">
        <x:f>COUNTIFS(Calculation_Data!$A$2:$A$893,A57,Calculation_Data!$B$2:$B$893,B57,Calculation_Data!$C$2:$C$893,"&gt;0",Calculation_Data!$D$2:$D$893,"&gt;=0")</x:f>
        <x:v>6</x:v>
      </x:c>
      <x:c r="H57" s="8" t="n">
        <x:f>IF(G57=0,"",SUMIFS(Calculation_Data!$D$2:$D$893,Calculation_Data!$A$2:$A$893,A57,Calculation_Data!$B$2:$B$893,B57,Calculation_Data!$C$2:$C$893,"&gt;0")/G57)</x:f>
        <x:v>2.1666666666666665</x:v>
      </x:c>
      <x:c r="I57" t="str">
        <x:f>IF(G57=0,"",COUNTIFS(Calculation_Data!$A$2:$A$893,A57,Calculation_Data!$B$2:$B$893,B57,Calculation_Data!$C$2:$C$893,"&gt;0",Calculation_Data!$D$2:$D$893,"&gt;=3")&amp;"/"&amp;G57&amp;" ("&amp;TEXT(COUNTIFS(Calculation_Data!$A$2:$A$893,A57,Calculation_Data!$B$2:$B$893,B57,Calculation_Data!$C$2:$C$893,"&gt;0",Calculation_Data!$D$2:$D$893,"&gt;=3")/G57,"0.0%")&amp;")")</x:f>
        <x:v>2/6 (33.3%)</x:v>
      </x:c>
      <x:c r="J57" t="n">
        <x:f>IF(D57="","",1+COUNTIFS($A$2:$A$84,A57,$D$2:$D$84,"&gt;"&amp;D57))</x:f>
        <x:v>1</x:v>
      </x:c>
      <x:c r="K57" t="n">
        <x:f>IF(H57="","",1+COUNTIFS($A$2:$A$84,A57,$H$2:$H$84,"&gt;"&amp;H57))</x:f>
        <x:v>1</x:v>
      </x:c>
    </x:row>
    <x:row r="58">
      <x:c r="A58" s="5" t="str">
        <x:v>Analytical Thinking &amp; Problem Solving</x:v>
      </x:c>
      <x:c r="B58" s="5" t="str">
        <x:v>Programming tutorials or learning materials can be hard to follow unless they are simplified.</x:v>
      </x:c>
      <x:c r="C58" t="n">
        <x:f>COUNTIFS(Calculation_Data!$A$2:$A$893,A58,Calculation_Data!$B$2:$B$893,B58,Calculation_Data!$C$2:$C$893,"&gt;=0")</x:f>
        <x:v>9</x:v>
      </x:c>
      <x:c r="D58" s="8" t="n">
        <x:f>IF(C58=0,"",SUMIFS(Calculation_Data!$C$2:$C$893,Calculation_Data!$A$2:$A$893,A58,Calculation_Data!$B$2:$B$893,B58)/C58)</x:f>
        <x:v>1.5555555555555556</x:v>
      </x:c>
      <x:c r="E58" t="str">
        <x:f>IF(C58=0,"",COUNTIFS(Calculation_Data!$A$2:$A$893,A58,Calculation_Data!$B$2:$B$893,B58,Calculation_Data!$C$2:$C$893,"&gt;=3")&amp;"/"&amp;C58&amp;" ("&amp;TEXT(COUNTIFS(Calculation_Data!$A$2:$A$893,A58,Calculation_Data!$B$2:$B$893,B58,Calculation_Data!$C$2:$C$893,"&gt;=3")/C58,"0.0%")&amp;")")</x:f>
        <x:v>2/9 (22.2%)</x:v>
      </x:c>
      <x:c r="F58" t="str">
        <x:f>IF(C58=0,"",COUNTIFS(Calculation_Data!$A$2:$A$893,A58,Calculation_Data!$B$2:$B$893,B58,Calculation_Data!$C$2:$C$893,"&gt;0")&amp;"/"&amp;C58&amp;" ("&amp;TEXT(COUNTIFS(Calculation_Data!$A$2:$A$893,A58,Calculation_Data!$B$2:$B$893,B58,Calculation_Data!$C$2:$C$893,"&gt;0")/C58,"0.0%")&amp;")")</x:f>
        <x:v>7/9 (77.8%)</x:v>
      </x:c>
      <x:c r="G58" t="n">
        <x:f>COUNTIFS(Calculation_Data!$A$2:$A$893,A58,Calculation_Data!$B$2:$B$893,B58,Calculation_Data!$C$2:$C$893,"&gt;0",Calculation_Data!$D$2:$D$893,"&gt;=0")</x:f>
        <x:v>7</x:v>
      </x:c>
      <x:c r="H58" s="8" t="n">
        <x:f>IF(G58=0,"",SUMIFS(Calculation_Data!$D$2:$D$893,Calculation_Data!$A$2:$A$893,A58,Calculation_Data!$B$2:$B$893,B58,Calculation_Data!$C$2:$C$893,"&gt;0")/G58)</x:f>
        <x:v>0.7142857142857143</x:v>
      </x:c>
      <x:c r="I58" t="str">
        <x:f>IF(G58=0,"",COUNTIFS(Calculation_Data!$A$2:$A$893,A58,Calculation_Data!$B$2:$B$893,B58,Calculation_Data!$C$2:$C$893,"&gt;0",Calculation_Data!$D$2:$D$893,"&gt;=3")&amp;"/"&amp;G58&amp;" ("&amp;TEXT(COUNTIFS(Calculation_Data!$A$2:$A$893,A58,Calculation_Data!$B$2:$B$893,B58,Calculation_Data!$C$2:$C$893,"&gt;0",Calculation_Data!$D$2:$D$893,"&gt;=3")/G58,"0.0%")&amp;")")</x:f>
        <x:v>0/7 (0.0%)</x:v>
      </x:c>
      <x:c r="J58" t="n">
        <x:f>IF(D58="","",1+COUNTIFS($A$2:$A$84,A58,$D$2:$D$84,"&gt;"&amp;D58))</x:f>
        <x:v>6</x:v>
      </x:c>
      <x:c r="K58" t="n">
        <x:f>IF(H58="","",1+COUNTIFS($A$2:$A$84,A58,$H$2:$H$84,"&gt;"&amp;H58))</x:f>
        <x:v>9</x:v>
      </x:c>
    </x:row>
    <x:row r="59">
      <x:c r="A59" s="5" t="str">
        <x:v>Analytical Thinking &amp; Problem Solving</x:v>
      </x:c>
      <x:c r="B59" s="5" t="str">
        <x:v>Understanding what code is doing just by reading it can require extra effort.</x:v>
      </x:c>
      <x:c r="C59" t="n">
        <x:f>COUNTIFS(Calculation_Data!$A$2:$A$893,A59,Calculation_Data!$B$2:$B$893,B59,Calculation_Data!$C$2:$C$893,"&gt;=0")</x:f>
        <x:v>9</x:v>
      </x:c>
      <x:c r="D59" s="8" t="n">
        <x:f>IF(C59=0,"",SUMIFS(Calculation_Data!$C$2:$C$893,Calculation_Data!$A$2:$A$893,A59,Calculation_Data!$B$2:$B$893,B59)/C59)</x:f>
        <x:v>2</x:v>
      </x:c>
      <x:c r="E59" t="str">
        <x:f>IF(C59=0,"",COUNTIFS(Calculation_Data!$A$2:$A$893,A59,Calculation_Data!$B$2:$B$893,B59,Calculation_Data!$C$2:$C$893,"&gt;=3")&amp;"/"&amp;C59&amp;" ("&amp;TEXT(COUNTIFS(Calculation_Data!$A$2:$A$893,A59,Calculation_Data!$B$2:$B$893,B59,Calculation_Data!$C$2:$C$893,"&gt;=3")/C59,"0.0%")&amp;")")</x:f>
        <x:v>2/9 (22.2%)</x:v>
      </x:c>
      <x:c r="F59" t="str">
        <x:f>IF(C59=0,"",COUNTIFS(Calculation_Data!$A$2:$A$893,A59,Calculation_Data!$B$2:$B$893,B59,Calculation_Data!$C$2:$C$893,"&gt;0")&amp;"/"&amp;C59&amp;" ("&amp;TEXT(COUNTIFS(Calculation_Data!$A$2:$A$893,A59,Calculation_Data!$B$2:$B$893,B59,Calculation_Data!$C$2:$C$893,"&gt;0")/C59,"0.0%")&amp;")")</x:f>
        <x:v>8/9 (88.9%)</x:v>
      </x:c>
      <x:c r="G59" t="n">
        <x:f>COUNTIFS(Calculation_Data!$A$2:$A$893,A59,Calculation_Data!$B$2:$B$893,B59,Calculation_Data!$C$2:$C$893,"&gt;0",Calculation_Data!$D$2:$D$893,"&gt;=0")</x:f>
        <x:v>8</x:v>
      </x:c>
      <x:c r="H59" s="8" t="n">
        <x:f>IF(G59=0,"",SUMIFS(Calculation_Data!$D$2:$D$893,Calculation_Data!$A$2:$A$893,A59,Calculation_Data!$B$2:$B$893,B59,Calculation_Data!$C$2:$C$893,"&gt;0")/G59)</x:f>
        <x:v>1.25</x:v>
      </x:c>
      <x:c r="I59" t="str">
        <x:f>IF(G59=0,"",COUNTIFS(Calculation_Data!$A$2:$A$893,A59,Calculation_Data!$B$2:$B$893,B59,Calculation_Data!$C$2:$C$893,"&gt;0",Calculation_Data!$D$2:$D$893,"&gt;=3")&amp;"/"&amp;G59&amp;" ("&amp;TEXT(COUNTIFS(Calculation_Data!$A$2:$A$893,A59,Calculation_Data!$B$2:$B$893,B59,Calculation_Data!$C$2:$C$893,"&gt;0",Calculation_Data!$D$2:$D$893,"&gt;=3")/G59,"0.0%")&amp;")")</x:f>
        <x:v>1/8 (12.5%)</x:v>
      </x:c>
      <x:c r="J59" t="n">
        <x:f>IF(D59="","",1+COUNTIFS($A$2:$A$84,A59,$D$2:$D$84,"&gt;"&amp;D59))</x:f>
        <x:v>2</x:v>
      </x:c>
      <x:c r="K59" t="n">
        <x:f>IF(H59="","",1+COUNTIFS($A$2:$A$84,A59,$H$2:$H$84,"&gt;"&amp;H59))</x:f>
        <x:v>7</x:v>
      </x:c>
    </x:row>
    <x:row r="60">
      <x:c r="A60" s="5" t="str">
        <x:v>Analytical Thinking &amp; Problem Solving</x:v>
      </x:c>
      <x:c r="B60" s="5" t="str">
        <x:v>Building and maintaining a clear mental model of how a system works can be challenging.</x:v>
      </x:c>
      <x:c r="C60" t="n">
        <x:f>COUNTIFS(Calculation_Data!$A$2:$A$893,A60,Calculation_Data!$B$2:$B$893,B60,Calculation_Data!$C$2:$C$893,"&gt;=0")</x:f>
        <x:v>9</x:v>
      </x:c>
      <x:c r="D60" s="8" t="n">
        <x:f>IF(C60=0,"",SUMIFS(Calculation_Data!$C$2:$C$893,Calculation_Data!$A$2:$A$893,A60,Calculation_Data!$B$2:$B$893,B60)/C60)</x:f>
        <x:v>1.8888888888888888</x:v>
      </x:c>
      <x:c r="E60" t="str">
        <x:f>IF(C60=0,"",COUNTIFS(Calculation_Data!$A$2:$A$893,A60,Calculation_Data!$B$2:$B$893,B60,Calculation_Data!$C$2:$C$893,"&gt;=3")&amp;"/"&amp;C60&amp;" ("&amp;TEXT(COUNTIFS(Calculation_Data!$A$2:$A$893,A60,Calculation_Data!$B$2:$B$893,B60,Calculation_Data!$C$2:$C$893,"&gt;=3")/C60,"0.0%")&amp;")")</x:f>
        <x:v>2/9 (22.2%)</x:v>
      </x:c>
      <x:c r="F60" t="str">
        <x:f>IF(C60=0,"",COUNTIFS(Calculation_Data!$A$2:$A$893,A60,Calculation_Data!$B$2:$B$893,B60,Calculation_Data!$C$2:$C$893,"&gt;0")&amp;"/"&amp;C60&amp;" ("&amp;TEXT(COUNTIFS(Calculation_Data!$A$2:$A$893,A60,Calculation_Data!$B$2:$B$893,B60,Calculation_Data!$C$2:$C$893,"&gt;0")/C60,"0.0%")&amp;")")</x:f>
        <x:v>8/9 (88.9%)</x:v>
      </x:c>
      <x:c r="G60" t="n">
        <x:f>COUNTIFS(Calculation_Data!$A$2:$A$893,A60,Calculation_Data!$B$2:$B$893,B60,Calculation_Data!$C$2:$C$893,"&gt;0",Calculation_Data!$D$2:$D$893,"&gt;=0")</x:f>
        <x:v>8</x:v>
      </x:c>
      <x:c r="H60" s="8" t="n">
        <x:f>IF(G60=0,"",SUMIFS(Calculation_Data!$D$2:$D$893,Calculation_Data!$A$2:$A$893,A60,Calculation_Data!$B$2:$B$893,B60,Calculation_Data!$C$2:$C$893,"&gt;0")/G60)</x:f>
        <x:v>1.5</x:v>
      </x:c>
      <x:c r="I60" t="str">
        <x:f>IF(G60=0,"",COUNTIFS(Calculation_Data!$A$2:$A$893,A60,Calculation_Data!$B$2:$B$893,B60,Calculation_Data!$C$2:$C$893,"&gt;0",Calculation_Data!$D$2:$D$893,"&gt;=3")&amp;"/"&amp;G60&amp;" ("&amp;TEXT(COUNTIFS(Calculation_Data!$A$2:$A$893,A60,Calculation_Data!$B$2:$B$893,B60,Calculation_Data!$C$2:$C$893,"&gt;0",Calculation_Data!$D$2:$D$893,"&gt;=3")/G60,"0.0%")&amp;")")</x:f>
        <x:v>2/8 (25.0%)</x:v>
      </x:c>
      <x:c r="J60" t="n">
        <x:f>IF(D60="","",1+COUNTIFS($A$2:$A$84,A60,$D$2:$D$84,"&gt;"&amp;D60))</x:f>
        <x:v>3</x:v>
      </x:c>
      <x:c r="K60" t="n">
        <x:f>IF(H60="","",1+COUNTIFS($A$2:$A$84,A60,$H$2:$H$84,"&gt;"&amp;H60))</x:f>
        <x:v>5</x:v>
      </x:c>
    </x:row>
    <x:row r="61">
      <x:c r="A61" s="5" t="str">
        <x:v>Analytical Thinking &amp; Problem Solving</x:v>
      </x:c>
      <x:c r="B61" s="5" t="str">
        <x:v>Understanding how different parts of a system connect when reading source code can be difficult.</x:v>
      </x:c>
      <x:c r="C61" t="n">
        <x:f>COUNTIFS(Calculation_Data!$A$2:$A$893,A61,Calculation_Data!$B$2:$B$893,B61,Calculation_Data!$C$2:$C$893,"&gt;=0")</x:f>
        <x:v>8</x:v>
      </x:c>
      <x:c r="D61" s="8" t="n">
        <x:f>IF(C61=0,"",SUMIFS(Calculation_Data!$C$2:$C$893,Calculation_Data!$A$2:$A$893,A61,Calculation_Data!$B$2:$B$893,B61)/C61)</x:f>
        <x:v>1.75</x:v>
      </x:c>
      <x:c r="E61" t="str">
        <x:f>IF(C61=0,"",COUNTIFS(Calculation_Data!$A$2:$A$893,A61,Calculation_Data!$B$2:$B$893,B61,Calculation_Data!$C$2:$C$893,"&gt;=3")&amp;"/"&amp;C61&amp;" ("&amp;TEXT(COUNTIFS(Calculation_Data!$A$2:$A$893,A61,Calculation_Data!$B$2:$B$893,B61,Calculation_Data!$C$2:$C$893,"&gt;=3")/C61,"0.0%")&amp;")")</x:f>
        <x:v>3/8 (37.5%)</x:v>
      </x:c>
      <x:c r="F61" t="str">
        <x:f>IF(C61=0,"",COUNTIFS(Calculation_Data!$A$2:$A$893,A61,Calculation_Data!$B$2:$B$893,B61,Calculation_Data!$C$2:$C$893,"&gt;0")&amp;"/"&amp;C61&amp;" ("&amp;TEXT(COUNTIFS(Calculation_Data!$A$2:$A$893,A61,Calculation_Data!$B$2:$B$893,B61,Calculation_Data!$C$2:$C$893,"&gt;0")/C61,"0.0%")&amp;")")</x:f>
        <x:v>5/8 (62.5%)</x:v>
      </x:c>
      <x:c r="G61" t="n">
        <x:f>COUNTIFS(Calculation_Data!$A$2:$A$893,A61,Calculation_Data!$B$2:$B$893,B61,Calculation_Data!$C$2:$C$893,"&gt;0",Calculation_Data!$D$2:$D$893,"&gt;=0")</x:f>
        <x:v>5</x:v>
      </x:c>
      <x:c r="H61" s="8" t="n">
        <x:f>IF(G61=0,"",SUMIFS(Calculation_Data!$D$2:$D$893,Calculation_Data!$A$2:$A$893,A61,Calculation_Data!$B$2:$B$893,B61,Calculation_Data!$C$2:$C$893,"&gt;0")/G61)</x:f>
        <x:v>1.6</x:v>
      </x:c>
      <x:c r="I61" t="str">
        <x:f>IF(G61=0,"",COUNTIFS(Calculation_Data!$A$2:$A$893,A61,Calculation_Data!$B$2:$B$893,B61,Calculation_Data!$C$2:$C$893,"&gt;0",Calculation_Data!$D$2:$D$893,"&gt;=3")&amp;"/"&amp;G61&amp;" ("&amp;TEXT(COUNTIFS(Calculation_Data!$A$2:$A$893,A61,Calculation_Data!$B$2:$B$893,B61,Calculation_Data!$C$2:$C$893,"&gt;0",Calculation_Data!$D$2:$D$893,"&gt;=3")/G61,"0.0%")&amp;")")</x:f>
        <x:v>2/5 (40.0%)</x:v>
      </x:c>
      <x:c r="J61" t="n">
        <x:f>IF(D61="","",1+COUNTIFS($A$2:$A$84,A61,$D$2:$D$84,"&gt;"&amp;D61))</x:f>
        <x:v>4</x:v>
      </x:c>
      <x:c r="K61" t="n">
        <x:f>IF(H61="","",1+COUNTIFS($A$2:$A$84,A61,$H$2:$H$84,"&gt;"&amp;H61))</x:f>
        <x:v>4</x:v>
      </x:c>
    </x:row>
    <x:row r="62">
      <x:c r="A62" s="5" t="str">
        <x:v>Analytical Thinking &amp; Problem Solving</x:v>
      </x:c>
      <x:c r="B62" s="5" t="str">
        <x:v>Reasoning through multi-step logic or algorithms can take additional effort.</x:v>
      </x:c>
      <x:c r="C62" t="n">
        <x:f>COUNTIFS(Calculation_Data!$A$2:$A$893,A62,Calculation_Data!$B$2:$B$893,B62,Calculation_Data!$C$2:$C$893,"&gt;=0")</x:f>
        <x:v>8</x:v>
      </x:c>
      <x:c r="D62" s="8" t="n">
        <x:f>IF(C62=0,"",SUMIFS(Calculation_Data!$C$2:$C$893,Calculation_Data!$A$2:$A$893,A62,Calculation_Data!$B$2:$B$893,B62)/C62)</x:f>
        <x:v>1.625</x:v>
      </x:c>
      <x:c r="E62" t="str">
        <x:f>IF(C62=0,"",COUNTIFS(Calculation_Data!$A$2:$A$893,A62,Calculation_Data!$B$2:$B$893,B62,Calculation_Data!$C$2:$C$893,"&gt;=3")&amp;"/"&amp;C62&amp;" ("&amp;TEXT(COUNTIFS(Calculation_Data!$A$2:$A$893,A62,Calculation_Data!$B$2:$B$893,B62,Calculation_Data!$C$2:$C$893,"&gt;=3")/C62,"0.0%")&amp;")")</x:f>
        <x:v>2/8 (25.0%)</x:v>
      </x:c>
      <x:c r="F62" t="str">
        <x:f>IF(C62=0,"",COUNTIFS(Calculation_Data!$A$2:$A$893,A62,Calculation_Data!$B$2:$B$893,B62,Calculation_Data!$C$2:$C$893,"&gt;0")&amp;"/"&amp;C62&amp;" ("&amp;TEXT(COUNTIFS(Calculation_Data!$A$2:$A$893,A62,Calculation_Data!$B$2:$B$893,B62,Calculation_Data!$C$2:$C$893,"&gt;0")/C62,"0.0%")&amp;")")</x:f>
        <x:v>6/8 (75.0%)</x:v>
      </x:c>
      <x:c r="G62" t="n">
        <x:f>COUNTIFS(Calculation_Data!$A$2:$A$893,A62,Calculation_Data!$B$2:$B$893,B62,Calculation_Data!$C$2:$C$893,"&gt;0",Calculation_Data!$D$2:$D$893,"&gt;=0")</x:f>
        <x:v>6</x:v>
      </x:c>
      <x:c r="H62" s="8" t="n">
        <x:f>IF(G62=0,"",SUMIFS(Calculation_Data!$D$2:$D$893,Calculation_Data!$A$2:$A$893,A62,Calculation_Data!$B$2:$B$893,B62,Calculation_Data!$C$2:$C$893,"&gt;0")/G62)</x:f>
        <x:v>1.6666666666666667</x:v>
      </x:c>
      <x:c r="I62" t="str">
        <x:f>IF(G62=0,"",COUNTIFS(Calculation_Data!$A$2:$A$893,A62,Calculation_Data!$B$2:$B$893,B62,Calculation_Data!$C$2:$C$893,"&gt;0",Calculation_Data!$D$2:$D$893,"&gt;=3")&amp;"/"&amp;G62&amp;" ("&amp;TEXT(COUNTIFS(Calculation_Data!$A$2:$A$893,A62,Calculation_Data!$B$2:$B$893,B62,Calculation_Data!$C$2:$C$893,"&gt;0",Calculation_Data!$D$2:$D$893,"&gt;=3")/G62,"0.0%")&amp;")")</x:f>
        <x:v>0/6 (0.0%)</x:v>
      </x:c>
      <x:c r="J62" t="n">
        <x:f>IF(D62="","",1+COUNTIFS($A$2:$A$84,A62,$D$2:$D$84,"&gt;"&amp;D62))</x:f>
        <x:v>5</x:v>
      </x:c>
      <x:c r="K62" t="n">
        <x:f>IF(H62="","",1+COUNTIFS($A$2:$A$84,A62,$H$2:$H$84,"&gt;"&amp;H62))</x:f>
        <x:v>2</x:v>
      </x:c>
    </x:row>
    <x:row r="63">
      <x:c r="A63" s="5" t="str">
        <x:v>Analytical Thinking &amp; Problem Solving</x:v>
      </x:c>
      <x:c r="B63" s="5" t="str">
        <x:v>Tasks that require very precise logical thinking and careful tracking of steps can be challenging.</x:v>
      </x:c>
      <x:c r="C63" t="n">
        <x:f>COUNTIFS(Calculation_Data!$A$2:$A$893,A63,Calculation_Data!$B$2:$B$893,B63,Calculation_Data!$C$2:$C$893,"&gt;=0")</x:f>
        <x:v>8</x:v>
      </x:c>
      <x:c r="D63" s="8" t="n">
        <x:f>IF(C63=0,"",SUMIFS(Calculation_Data!$C$2:$C$893,Calculation_Data!$A$2:$A$893,A63,Calculation_Data!$B$2:$B$893,B63)/C63)</x:f>
        <x:v>1.5</x:v>
      </x:c>
      <x:c r="E63" t="str">
        <x:f>IF(C63=0,"",COUNTIFS(Calculation_Data!$A$2:$A$893,A63,Calculation_Data!$B$2:$B$893,B63,Calculation_Data!$C$2:$C$893,"&gt;=3")&amp;"/"&amp;C63&amp;" ("&amp;TEXT(COUNTIFS(Calculation_Data!$A$2:$A$893,A63,Calculation_Data!$B$2:$B$893,B63,Calculation_Data!$C$2:$C$893,"&gt;=3")/C63,"0.0%")&amp;")")</x:f>
        <x:v>1/8 (12.5%)</x:v>
      </x:c>
      <x:c r="F63" t="str">
        <x:f>IF(C63=0,"",COUNTIFS(Calculation_Data!$A$2:$A$893,A63,Calculation_Data!$B$2:$B$893,B63,Calculation_Data!$C$2:$C$893,"&gt;0")&amp;"/"&amp;C63&amp;" ("&amp;TEXT(COUNTIFS(Calculation_Data!$A$2:$A$893,A63,Calculation_Data!$B$2:$B$893,B63,Calculation_Data!$C$2:$C$893,"&gt;0")/C63,"0.0%")&amp;")")</x:f>
        <x:v>6/8 (75.0%)</x:v>
      </x:c>
      <x:c r="G63" t="n">
        <x:f>COUNTIFS(Calculation_Data!$A$2:$A$893,A63,Calculation_Data!$B$2:$B$893,B63,Calculation_Data!$C$2:$C$893,"&gt;0",Calculation_Data!$D$2:$D$893,"&gt;=0")</x:f>
        <x:v>6</x:v>
      </x:c>
      <x:c r="H63" s="8" t="n">
        <x:f>IF(G63=0,"",SUMIFS(Calculation_Data!$D$2:$D$893,Calculation_Data!$A$2:$A$893,A63,Calculation_Data!$B$2:$B$893,B63,Calculation_Data!$C$2:$C$893,"&gt;0")/G63)</x:f>
        <x:v>1.3333333333333333</x:v>
      </x:c>
      <x:c r="I63" t="str">
        <x:f>IF(G63=0,"",COUNTIFS(Calculation_Data!$A$2:$A$893,A63,Calculation_Data!$B$2:$B$893,B63,Calculation_Data!$C$2:$C$893,"&gt;0",Calculation_Data!$D$2:$D$893,"&gt;=3")&amp;"/"&amp;G63&amp;" ("&amp;TEXT(COUNTIFS(Calculation_Data!$A$2:$A$893,A63,Calculation_Data!$B$2:$B$893,B63,Calculation_Data!$C$2:$C$893,"&gt;0",Calculation_Data!$D$2:$D$893,"&gt;=3")/G63,"0.0%")&amp;")")</x:f>
        <x:v>1/6 (16.7%)</x:v>
      </x:c>
      <x:c r="J63" t="n">
        <x:f>IF(D63="","",1+COUNTIFS($A$2:$A$84,A63,$D$2:$D$84,"&gt;"&amp;D63))</x:f>
        <x:v>8</x:v>
      </x:c>
      <x:c r="K63" t="n">
        <x:f>IF(H63="","",1+COUNTIFS($A$2:$A$84,A63,$H$2:$H$84,"&gt;"&amp;H63))</x:f>
        <x:v>6</x:v>
      </x:c>
    </x:row>
    <x:row r="64">
      <x:c r="A64" s="5" t="str">
        <x:v>Communication &amp; Expression</x:v>
      </x:c>
      <x:c r="B64" s="5" t="str">
        <x:v>Taking notes during discussions can be difficult when information is shared quickly.</x:v>
      </x:c>
      <x:c r="C64" t="n">
        <x:f>COUNTIFS(Calculation_Data!$A$2:$A$893,A64,Calculation_Data!$B$2:$B$893,B64,Calculation_Data!$C$2:$C$893,"&gt;=0")</x:f>
        <x:v>9</x:v>
      </x:c>
      <x:c r="D64" s="8" t="n">
        <x:f>IF(C64=0,"",SUMIFS(Calculation_Data!$C$2:$C$893,Calculation_Data!$A$2:$A$893,A64,Calculation_Data!$B$2:$B$893,B64)/C64)</x:f>
        <x:v>2.6666666666666665</x:v>
      </x:c>
      <x:c r="E64" t="str">
        <x:f>IF(C64=0,"",COUNTIFS(Calculation_Data!$A$2:$A$893,A64,Calculation_Data!$B$2:$B$893,B64,Calculation_Data!$C$2:$C$893,"&gt;=3")&amp;"/"&amp;C64&amp;" ("&amp;TEXT(COUNTIFS(Calculation_Data!$A$2:$A$893,A64,Calculation_Data!$B$2:$B$893,B64,Calculation_Data!$C$2:$C$893,"&gt;=3")/C64,"0.0%")&amp;")")</x:f>
        <x:v>6/9 (66.7%)</x:v>
      </x:c>
      <x:c r="F64" t="str">
        <x:f>IF(C64=0,"",COUNTIFS(Calculation_Data!$A$2:$A$893,A64,Calculation_Data!$B$2:$B$893,B64,Calculation_Data!$C$2:$C$893,"&gt;0")&amp;"/"&amp;C64&amp;" ("&amp;TEXT(COUNTIFS(Calculation_Data!$A$2:$A$893,A64,Calculation_Data!$B$2:$B$893,B64,Calculation_Data!$C$2:$C$893,"&gt;0")/C64,"0.0%")&amp;")")</x:f>
        <x:v>9/9 (100.0%)</x:v>
      </x:c>
      <x:c r="G64" t="n">
        <x:f>COUNTIFS(Calculation_Data!$A$2:$A$893,A64,Calculation_Data!$B$2:$B$893,B64,Calculation_Data!$C$2:$C$893,"&gt;0",Calculation_Data!$D$2:$D$893,"&gt;=0")</x:f>
        <x:v>9</x:v>
      </x:c>
      <x:c r="H64" s="8" t="n">
        <x:f>IF(G64=0,"",SUMIFS(Calculation_Data!$D$2:$D$893,Calculation_Data!$A$2:$A$893,A64,Calculation_Data!$B$2:$B$893,B64,Calculation_Data!$C$2:$C$893,"&gt;0")/G64)</x:f>
        <x:v>2.111111111111111</x:v>
      </x:c>
      <x:c r="I64" t="str">
        <x:f>IF(G64=0,"",COUNTIFS(Calculation_Data!$A$2:$A$893,A64,Calculation_Data!$B$2:$B$893,B64,Calculation_Data!$C$2:$C$893,"&gt;0",Calculation_Data!$D$2:$D$893,"&gt;=3")&amp;"/"&amp;G64&amp;" ("&amp;TEXT(COUNTIFS(Calculation_Data!$A$2:$A$893,A64,Calculation_Data!$B$2:$B$893,B64,Calculation_Data!$C$2:$C$893,"&gt;0",Calculation_Data!$D$2:$D$893,"&gt;=3")/G64,"0.0%")&amp;")")</x:f>
        <x:v>5/9 (55.6%)</x:v>
      </x:c>
      <x:c r="J64" t="n">
        <x:f>IF(D64="","",1+COUNTIFS($A$2:$A$84,A64,$D$2:$D$84,"&gt;"&amp;D64))</x:f>
        <x:v>3</x:v>
      </x:c>
      <x:c r="K64" t="n">
        <x:f>IF(H64="","",1+COUNTIFS($A$2:$A$84,A64,$H$2:$H$84,"&gt;"&amp;H64))</x:f>
        <x:v>4</x:v>
      </x:c>
    </x:row>
    <x:row r="65">
      <x:c r="A65" s="5" t="str">
        <x:v>Communication &amp; Expression</x:v>
      </x:c>
      <x:c r="B65" s="5" t="str">
        <x:v>Organizing thoughts clearly while speaking in conversations can be challenging.</x:v>
      </x:c>
      <x:c r="C65" t="n">
        <x:f>COUNTIFS(Calculation_Data!$A$2:$A$893,A65,Calculation_Data!$B$2:$B$893,B65,Calculation_Data!$C$2:$C$893,"&gt;=0")</x:f>
        <x:v>8</x:v>
      </x:c>
      <x:c r="D65" s="8" t="n">
        <x:f>IF(C65=0,"",SUMIFS(Calculation_Data!$C$2:$C$893,Calculation_Data!$A$2:$A$893,A65,Calculation_Data!$B$2:$B$893,B65)/C65)</x:f>
        <x:v>2.875</x:v>
      </x:c>
      <x:c r="E65" t="str">
        <x:f>IF(C65=0,"",COUNTIFS(Calculation_Data!$A$2:$A$893,A65,Calculation_Data!$B$2:$B$893,B65,Calculation_Data!$C$2:$C$893,"&gt;=3")&amp;"/"&amp;C65&amp;" ("&amp;TEXT(COUNTIFS(Calculation_Data!$A$2:$A$893,A65,Calculation_Data!$B$2:$B$893,B65,Calculation_Data!$C$2:$C$893,"&gt;=3")/C65,"0.0%")&amp;")")</x:f>
        <x:v>5/8 (62.5%)</x:v>
      </x:c>
      <x:c r="F65" t="str">
        <x:f>IF(C65=0,"",COUNTIFS(Calculation_Data!$A$2:$A$893,A65,Calculation_Data!$B$2:$B$893,B65,Calculation_Data!$C$2:$C$893,"&gt;0")&amp;"/"&amp;C65&amp;" ("&amp;TEXT(COUNTIFS(Calculation_Data!$A$2:$A$893,A65,Calculation_Data!$B$2:$B$893,B65,Calculation_Data!$C$2:$C$893,"&gt;0")/C65,"0.0%")&amp;")")</x:f>
        <x:v>8/8 (100.0%)</x:v>
      </x:c>
      <x:c r="G65" t="n">
        <x:f>COUNTIFS(Calculation_Data!$A$2:$A$893,A65,Calculation_Data!$B$2:$B$893,B65,Calculation_Data!$C$2:$C$893,"&gt;0",Calculation_Data!$D$2:$D$893,"&gt;=0")</x:f>
        <x:v>8</x:v>
      </x:c>
      <x:c r="H65" s="8" t="n">
        <x:f>IF(G65=0,"",SUMIFS(Calculation_Data!$D$2:$D$893,Calculation_Data!$A$2:$A$893,A65,Calculation_Data!$B$2:$B$893,B65,Calculation_Data!$C$2:$C$893,"&gt;0")/G65)</x:f>
        <x:v>2.5</x:v>
      </x:c>
      <x:c r="I65" t="str">
        <x:f>IF(G65=0,"",COUNTIFS(Calculation_Data!$A$2:$A$893,A65,Calculation_Data!$B$2:$B$893,B65,Calculation_Data!$C$2:$C$893,"&gt;0",Calculation_Data!$D$2:$D$893,"&gt;=3")&amp;"/"&amp;G65&amp;" ("&amp;TEXT(COUNTIFS(Calculation_Data!$A$2:$A$893,A65,Calculation_Data!$B$2:$B$893,B65,Calculation_Data!$C$2:$C$893,"&gt;0",Calculation_Data!$D$2:$D$893,"&gt;=3")/G65,"0.0%")&amp;")")</x:f>
        <x:v>4/8 (50.0%)</x:v>
      </x:c>
      <x:c r="J65" t="n">
        <x:f>IF(D65="","",1+COUNTIFS($A$2:$A$84,A65,$D$2:$D$84,"&gt;"&amp;D65))</x:f>
        <x:v>2</x:v>
      </x:c>
      <x:c r="K65" t="n">
        <x:f>IF(H65="","",1+COUNTIFS($A$2:$A$84,A65,$H$2:$H$84,"&gt;"&amp;H65))</x:f>
        <x:v>2</x:v>
      </x:c>
    </x:row>
    <x:row r="66">
      <x:c r="A66" s="5" t="str">
        <x:v>Communication &amp; Expression</x:v>
      </x:c>
      <x:c r="B66" s="5" t="str">
        <x:v>Explaining ideas in a way that others easily understand can take extra effort.</x:v>
      </x:c>
      <x:c r="C66" t="n">
        <x:f>COUNTIFS(Calculation_Data!$A$2:$A$893,A66,Calculation_Data!$B$2:$B$893,B66,Calculation_Data!$C$2:$C$893,"&gt;=0")</x:f>
        <x:v>8</x:v>
      </x:c>
      <x:c r="D66" s="8" t="n">
        <x:f>IF(C66=0,"",SUMIFS(Calculation_Data!$C$2:$C$893,Calculation_Data!$A$2:$A$893,A66,Calculation_Data!$B$2:$B$893,B66)/C66)</x:f>
        <x:v>2.5</x:v>
      </x:c>
      <x:c r="E66" t="str">
        <x:f>IF(C66=0,"",COUNTIFS(Calculation_Data!$A$2:$A$893,A66,Calculation_Data!$B$2:$B$893,B66,Calculation_Data!$C$2:$C$893,"&gt;=3")&amp;"/"&amp;C66&amp;" ("&amp;TEXT(COUNTIFS(Calculation_Data!$A$2:$A$893,A66,Calculation_Data!$B$2:$B$893,B66,Calculation_Data!$C$2:$C$893,"&gt;=3")/C66,"0.0%")&amp;")")</x:f>
        <x:v>4/8 (50.0%)</x:v>
      </x:c>
      <x:c r="F66" t="str">
        <x:f>IF(C66=0,"",COUNTIFS(Calculation_Data!$A$2:$A$893,A66,Calculation_Data!$B$2:$B$893,B66,Calculation_Data!$C$2:$C$893,"&gt;0")&amp;"/"&amp;C66&amp;" ("&amp;TEXT(COUNTIFS(Calculation_Data!$A$2:$A$893,A66,Calculation_Data!$B$2:$B$893,B66,Calculation_Data!$C$2:$C$893,"&gt;0")/C66,"0.0%")&amp;")")</x:f>
        <x:v>7/8 (87.5%)</x:v>
      </x:c>
      <x:c r="G66" t="n">
        <x:f>COUNTIFS(Calculation_Data!$A$2:$A$893,A66,Calculation_Data!$B$2:$B$893,B66,Calculation_Data!$C$2:$C$893,"&gt;0",Calculation_Data!$D$2:$D$893,"&gt;=0")</x:f>
        <x:v>7</x:v>
      </x:c>
      <x:c r="H66" s="8" t="n">
        <x:f>IF(G66=0,"",SUMIFS(Calculation_Data!$D$2:$D$893,Calculation_Data!$A$2:$A$893,A66,Calculation_Data!$B$2:$B$893,B66,Calculation_Data!$C$2:$C$893,"&gt;0")/G66)</x:f>
        <x:v>2.4285714285714284</x:v>
      </x:c>
      <x:c r="I66" t="str">
        <x:f>IF(G66=0,"",COUNTIFS(Calculation_Data!$A$2:$A$893,A66,Calculation_Data!$B$2:$B$893,B66,Calculation_Data!$C$2:$C$893,"&gt;0",Calculation_Data!$D$2:$D$893,"&gt;=3")&amp;"/"&amp;G66&amp;" ("&amp;TEXT(COUNTIFS(Calculation_Data!$A$2:$A$893,A66,Calculation_Data!$B$2:$B$893,B66,Calculation_Data!$C$2:$C$893,"&gt;0",Calculation_Data!$D$2:$D$893,"&gt;=3")/G66,"0.0%")&amp;")")</x:f>
        <x:v>4/7 (57.1%)</x:v>
      </x:c>
      <x:c r="J66" t="n">
        <x:f>IF(D66="","",1+COUNTIFS($A$2:$A$84,A66,$D$2:$D$84,"&gt;"&amp;D66))</x:f>
        <x:v>4</x:v>
      </x:c>
      <x:c r="K66" t="n">
        <x:f>IF(H66="","",1+COUNTIFS($A$2:$A$84,A66,$H$2:$H$84,"&gt;"&amp;H66))</x:f>
        <x:v>3</x:v>
      </x:c>
    </x:row>
    <x:row r="67">
      <x:c r="A67" s="5" t="str">
        <x:v>Communication &amp; Expression</x:v>
      </x:c>
      <x:c r="B67" s="5" t="str">
        <x:v>When under time pressure, it can be harder to express ideas clearly.</x:v>
      </x:c>
      <x:c r="C67" t="n">
        <x:f>COUNTIFS(Calculation_Data!$A$2:$A$893,A67,Calculation_Data!$B$2:$B$893,B67,Calculation_Data!$C$2:$C$893,"&gt;=0")</x:f>
        <x:v>9</x:v>
      </x:c>
      <x:c r="D67" s="8" t="n">
        <x:f>IF(C67=0,"",SUMIFS(Calculation_Data!$C$2:$C$893,Calculation_Data!$A$2:$A$893,A67,Calculation_Data!$B$2:$B$893,B67)/C67)</x:f>
        <x:v>2.888888888888889</x:v>
      </x:c>
      <x:c r="E67" t="str">
        <x:f>IF(C67=0,"",COUNTIFS(Calculation_Data!$A$2:$A$893,A67,Calculation_Data!$B$2:$B$893,B67,Calculation_Data!$C$2:$C$893,"&gt;=3")&amp;"/"&amp;C67&amp;" ("&amp;TEXT(COUNTIFS(Calculation_Data!$A$2:$A$893,A67,Calculation_Data!$B$2:$B$893,B67,Calculation_Data!$C$2:$C$893,"&gt;=3")/C67,"0.0%")&amp;")")</x:f>
        <x:v>5/9 (55.6%)</x:v>
      </x:c>
      <x:c r="F67" t="str">
        <x:f>IF(C67=0,"",COUNTIFS(Calculation_Data!$A$2:$A$893,A67,Calculation_Data!$B$2:$B$893,B67,Calculation_Data!$C$2:$C$893,"&gt;0")&amp;"/"&amp;C67&amp;" ("&amp;TEXT(COUNTIFS(Calculation_Data!$A$2:$A$893,A67,Calculation_Data!$B$2:$B$893,B67,Calculation_Data!$C$2:$C$893,"&gt;0")/C67,"0.0%")&amp;")")</x:f>
        <x:v>9/9 (100.0%)</x:v>
      </x:c>
      <x:c r="G67" t="n">
        <x:f>COUNTIFS(Calculation_Data!$A$2:$A$893,A67,Calculation_Data!$B$2:$B$893,B67,Calculation_Data!$C$2:$C$893,"&gt;0",Calculation_Data!$D$2:$D$893,"&gt;=0")</x:f>
        <x:v>9</x:v>
      </x:c>
      <x:c r="H67" s="8" t="n">
        <x:f>IF(G67=0,"",SUMIFS(Calculation_Data!$D$2:$D$893,Calculation_Data!$A$2:$A$893,A67,Calculation_Data!$B$2:$B$893,B67,Calculation_Data!$C$2:$C$893,"&gt;0")/G67)</x:f>
        <x:v>2.5555555555555554</x:v>
      </x:c>
      <x:c r="I67" t="str">
        <x:f>IF(G67=0,"",COUNTIFS(Calculation_Data!$A$2:$A$893,A67,Calculation_Data!$B$2:$B$893,B67,Calculation_Data!$C$2:$C$893,"&gt;0",Calculation_Data!$D$2:$D$893,"&gt;=3")&amp;"/"&amp;G67&amp;" ("&amp;TEXT(COUNTIFS(Calculation_Data!$A$2:$A$893,A67,Calculation_Data!$B$2:$B$893,B67,Calculation_Data!$C$2:$C$893,"&gt;0",Calculation_Data!$D$2:$D$893,"&gt;=3")/G67,"0.0%")&amp;")")</x:f>
        <x:v>4/9 (44.4%)</x:v>
      </x:c>
      <x:c r="J67" t="n">
        <x:f>IF(D67="","",1+COUNTIFS($A$2:$A$84,A67,$D$2:$D$84,"&gt;"&amp;D67))</x:f>
        <x:v>1</x:v>
      </x:c>
      <x:c r="K67" t="n">
        <x:f>IF(H67="","",1+COUNTIFS($A$2:$A$84,A67,$H$2:$H$84,"&gt;"&amp;H67))</x:f>
        <x:v>1</x:v>
      </x:c>
    </x:row>
    <x:row r="68">
      <x:c r="A68" s="5" t="str">
        <x:v>Communication &amp; Expression</x:v>
      </x:c>
      <x:c r="B68" s="5" t="str">
        <x:v>Explaining visual ideas or mental models to others can be challenging.</x:v>
      </x:c>
      <x:c r="C68" t="n">
        <x:f>COUNTIFS(Calculation_Data!$A$2:$A$893,A68,Calculation_Data!$B$2:$B$893,B68,Calculation_Data!$C$2:$C$893,"&gt;=0")</x:f>
        <x:v>9</x:v>
      </x:c>
      <x:c r="D68" s="8" t="n">
        <x:f>IF(C68=0,"",SUMIFS(Calculation_Data!$C$2:$C$893,Calculation_Data!$A$2:$A$893,A68,Calculation_Data!$B$2:$B$893,B68)/C68)</x:f>
        <x:v>2</x:v>
      </x:c>
      <x:c r="E68" t="str">
        <x:f>IF(C68=0,"",COUNTIFS(Calculation_Data!$A$2:$A$893,A68,Calculation_Data!$B$2:$B$893,B68,Calculation_Data!$C$2:$C$893,"&gt;=3")&amp;"/"&amp;C68&amp;" ("&amp;TEXT(COUNTIFS(Calculation_Data!$A$2:$A$893,A68,Calculation_Data!$B$2:$B$893,B68,Calculation_Data!$C$2:$C$893,"&gt;=3")/C68,"0.0%")&amp;")")</x:f>
        <x:v>2/9 (22.2%)</x:v>
      </x:c>
      <x:c r="F68" t="str">
        <x:f>IF(C68=0,"",COUNTIFS(Calculation_Data!$A$2:$A$893,A68,Calculation_Data!$B$2:$B$893,B68,Calculation_Data!$C$2:$C$893,"&gt;0")&amp;"/"&amp;C68&amp;" ("&amp;TEXT(COUNTIFS(Calculation_Data!$A$2:$A$893,A68,Calculation_Data!$B$2:$B$893,B68,Calculation_Data!$C$2:$C$893,"&gt;0")/C68,"0.0%")&amp;")")</x:f>
        <x:v>8/9 (88.9%)</x:v>
      </x:c>
      <x:c r="G68" t="n">
        <x:f>COUNTIFS(Calculation_Data!$A$2:$A$893,A68,Calculation_Data!$B$2:$B$893,B68,Calculation_Data!$C$2:$C$893,"&gt;0",Calculation_Data!$D$2:$D$893,"&gt;=0")</x:f>
        <x:v>8</x:v>
      </x:c>
      <x:c r="H68" s="8" t="n">
        <x:f>IF(G68=0,"",SUMIFS(Calculation_Data!$D$2:$D$893,Calculation_Data!$A$2:$A$893,A68,Calculation_Data!$B$2:$B$893,B68,Calculation_Data!$C$2:$C$893,"&gt;0")/G68)</x:f>
        <x:v>1.625</x:v>
      </x:c>
      <x:c r="I68" t="str">
        <x:f>IF(G68=0,"",COUNTIFS(Calculation_Data!$A$2:$A$893,A68,Calculation_Data!$B$2:$B$893,B68,Calculation_Data!$C$2:$C$893,"&gt;0",Calculation_Data!$D$2:$D$893,"&gt;=3")&amp;"/"&amp;G68&amp;" ("&amp;TEXT(COUNTIFS(Calculation_Data!$A$2:$A$893,A68,Calculation_Data!$B$2:$B$893,B68,Calculation_Data!$C$2:$C$893,"&gt;0",Calculation_Data!$D$2:$D$893,"&gt;=3")/G68,"0.0%")&amp;")")</x:f>
        <x:v>1/8 (12.5%)</x:v>
      </x:c>
      <x:c r="J68" t="n">
        <x:f>IF(D68="","",1+COUNTIFS($A$2:$A$84,A68,$D$2:$D$84,"&gt;"&amp;D68))</x:f>
        <x:v>7</x:v>
      </x:c>
      <x:c r="K68" t="n">
        <x:f>IF(H68="","",1+COUNTIFS($A$2:$A$84,A68,$H$2:$H$84,"&gt;"&amp;H68))</x:f>
        <x:v>7</x:v>
      </x:c>
    </x:row>
    <x:row r="69">
      <x:c r="A69" s="5" t="str">
        <x:v>Communication &amp; Expression</x:v>
      </x:c>
      <x:c r="B69" s="5" t="str">
        <x:v>Understanding detailed or highly technical explanations can require extra effort.</x:v>
      </x:c>
      <x:c r="C69" t="n">
        <x:f>COUNTIFS(Calculation_Data!$A$2:$A$893,A69,Calculation_Data!$B$2:$B$893,B69,Calculation_Data!$C$2:$C$893,"&gt;=0")</x:f>
        <x:v>9</x:v>
      </x:c>
      <x:c r="D69" s="8" t="n">
        <x:f>IF(C69=0,"",SUMIFS(Calculation_Data!$C$2:$C$893,Calculation_Data!$A$2:$A$893,A69,Calculation_Data!$B$2:$B$893,B69)/C69)</x:f>
        <x:v>2.2222222222222223</x:v>
      </x:c>
      <x:c r="E69" t="str">
        <x:f>IF(C69=0,"",COUNTIFS(Calculation_Data!$A$2:$A$893,A69,Calculation_Data!$B$2:$B$893,B69,Calculation_Data!$C$2:$C$893,"&gt;=3")&amp;"/"&amp;C69&amp;" ("&amp;TEXT(COUNTIFS(Calculation_Data!$A$2:$A$893,A69,Calculation_Data!$B$2:$B$893,B69,Calculation_Data!$C$2:$C$893,"&gt;=3")/C69,"0.0%")&amp;")")</x:f>
        <x:v>3/9 (33.3%)</x:v>
      </x:c>
      <x:c r="F69" t="str">
        <x:f>IF(C69=0,"",COUNTIFS(Calculation_Data!$A$2:$A$893,A69,Calculation_Data!$B$2:$B$893,B69,Calculation_Data!$C$2:$C$893,"&gt;0")&amp;"/"&amp;C69&amp;" ("&amp;TEXT(COUNTIFS(Calculation_Data!$A$2:$A$893,A69,Calculation_Data!$B$2:$B$893,B69,Calculation_Data!$C$2:$C$893,"&gt;0")/C69,"0.0%")&amp;")")</x:f>
        <x:v>9/9 (100.0%)</x:v>
      </x:c>
      <x:c r="G69" t="n">
        <x:f>COUNTIFS(Calculation_Data!$A$2:$A$893,A69,Calculation_Data!$B$2:$B$893,B69,Calculation_Data!$C$2:$C$893,"&gt;0",Calculation_Data!$D$2:$D$893,"&gt;=0")</x:f>
        <x:v>9</x:v>
      </x:c>
      <x:c r="H69" s="8" t="n">
        <x:f>IF(G69=0,"",SUMIFS(Calculation_Data!$D$2:$D$893,Calculation_Data!$A$2:$A$893,A69,Calculation_Data!$B$2:$B$893,B69,Calculation_Data!$C$2:$C$893,"&gt;0")/G69)</x:f>
        <x:v>2</x:v>
      </x:c>
      <x:c r="I69" t="str">
        <x:f>IF(G69=0,"",COUNTIFS(Calculation_Data!$A$2:$A$893,A69,Calculation_Data!$B$2:$B$893,B69,Calculation_Data!$C$2:$C$893,"&gt;0",Calculation_Data!$D$2:$D$893,"&gt;=3")&amp;"/"&amp;G69&amp;" ("&amp;TEXT(COUNTIFS(Calculation_Data!$A$2:$A$893,A69,Calculation_Data!$B$2:$B$893,B69,Calculation_Data!$C$2:$C$893,"&gt;0",Calculation_Data!$D$2:$D$893,"&gt;=3")/G69,"0.0%")&amp;")")</x:f>
        <x:v>4/9 (44.4%)</x:v>
      </x:c>
      <x:c r="J69" t="n">
        <x:f>IF(D69="","",1+COUNTIFS($A$2:$A$84,A69,$D$2:$D$84,"&gt;"&amp;D69))</x:f>
        <x:v>6</x:v>
      </x:c>
      <x:c r="K69" t="n">
        <x:f>IF(H69="","",1+COUNTIFS($A$2:$A$84,A69,$H$2:$H$84,"&gt;"&amp;H69))</x:f>
        <x:v>5</x:v>
      </x:c>
    </x:row>
    <x:row r="70">
      <x:c r="A70" s="5" t="str">
        <x:v>Communication &amp; Expression</x:v>
      </x:c>
      <x:c r="B70" s="5" t="str">
        <x:v>Finding the right words to explain technical ideas can sometimes be difficult.</x:v>
      </x:c>
      <x:c r="C70" t="n">
        <x:f>COUNTIFS(Calculation_Data!$A$2:$A$893,A70,Calculation_Data!$B$2:$B$893,B70,Calculation_Data!$C$2:$C$893,"&gt;=0")</x:f>
        <x:v>9</x:v>
      </x:c>
      <x:c r="D70" s="8" t="n">
        <x:f>IF(C70=0,"",SUMIFS(Calculation_Data!$C$2:$C$893,Calculation_Data!$A$2:$A$893,A70,Calculation_Data!$B$2:$B$893,B70)/C70)</x:f>
        <x:v>2.4444444444444446</x:v>
      </x:c>
      <x:c r="E70" t="str">
        <x:f>IF(C70=0,"",COUNTIFS(Calculation_Data!$A$2:$A$893,A70,Calculation_Data!$B$2:$B$893,B70,Calculation_Data!$C$2:$C$893,"&gt;=3")&amp;"/"&amp;C70&amp;" ("&amp;TEXT(COUNTIFS(Calculation_Data!$A$2:$A$893,A70,Calculation_Data!$B$2:$B$893,B70,Calculation_Data!$C$2:$C$893,"&gt;=3")/C70,"0.0%")&amp;")")</x:f>
        <x:v>5/9 (55.6%)</x:v>
      </x:c>
      <x:c r="F70" t="str">
        <x:f>IF(C70=0,"",COUNTIFS(Calculation_Data!$A$2:$A$893,A70,Calculation_Data!$B$2:$B$893,B70,Calculation_Data!$C$2:$C$893,"&gt;0")&amp;"/"&amp;C70&amp;" ("&amp;TEXT(COUNTIFS(Calculation_Data!$A$2:$A$893,A70,Calculation_Data!$B$2:$B$893,B70,Calculation_Data!$C$2:$C$893,"&gt;0")/C70,"0.0%")&amp;")")</x:f>
        <x:v>9/9 (100.0%)</x:v>
      </x:c>
      <x:c r="G70" t="n">
        <x:f>COUNTIFS(Calculation_Data!$A$2:$A$893,A70,Calculation_Data!$B$2:$B$893,B70,Calculation_Data!$C$2:$C$893,"&gt;0",Calculation_Data!$D$2:$D$893,"&gt;=0")</x:f>
        <x:v>9</x:v>
      </x:c>
      <x:c r="H70" s="8" t="n">
        <x:f>IF(G70=0,"",SUMIFS(Calculation_Data!$D$2:$D$893,Calculation_Data!$A$2:$A$893,A70,Calculation_Data!$B$2:$B$893,B70,Calculation_Data!$C$2:$C$893,"&gt;0")/G70)</x:f>
        <x:v>1.6666666666666667</x:v>
      </x:c>
      <x:c r="I70" t="str">
        <x:f>IF(G70=0,"",COUNTIFS(Calculation_Data!$A$2:$A$893,A70,Calculation_Data!$B$2:$B$893,B70,Calculation_Data!$C$2:$C$893,"&gt;0",Calculation_Data!$D$2:$D$893,"&gt;=3")&amp;"/"&amp;G70&amp;" ("&amp;TEXT(COUNTIFS(Calculation_Data!$A$2:$A$893,A70,Calculation_Data!$B$2:$B$893,B70,Calculation_Data!$C$2:$C$893,"&gt;0",Calculation_Data!$D$2:$D$893,"&gt;=3")/G70,"0.0%")&amp;")")</x:f>
        <x:v>3/9 (33.3%)</x:v>
      </x:c>
      <x:c r="J70" t="n">
        <x:f>IF(D70="","",1+COUNTIFS($A$2:$A$84,A70,$D$2:$D$84,"&gt;"&amp;D70))</x:f>
        <x:v>5</x:v>
      </x:c>
      <x:c r="K70" t="n">
        <x:f>IF(H70="","",1+COUNTIFS($A$2:$A$84,A70,$H$2:$H$84,"&gt;"&amp;H70))</x:f>
        <x:v>6</x:v>
      </x:c>
    </x:row>
    <x:row r="71">
      <x:c r="A71" s="5" t="str">
        <x:v>Communication &amp; Expression</x:v>
      </x:c>
      <x:c r="B71" s="5" t="str">
        <x:v>Explaining processes or ideas step-by-step can be challenging.</x:v>
      </x:c>
      <x:c r="C71" t="n">
        <x:f>COUNTIFS(Calculation_Data!$A$2:$A$893,A71,Calculation_Data!$B$2:$B$893,B71,Calculation_Data!$C$2:$C$893,"&gt;=0")</x:f>
        <x:v>8</x:v>
      </x:c>
      <x:c r="D71" s="8" t="n">
        <x:f>IF(C71=0,"",SUMIFS(Calculation_Data!$C$2:$C$893,Calculation_Data!$A$2:$A$893,A71,Calculation_Data!$B$2:$B$893,B71)/C71)</x:f>
        <x:v>2</x:v>
      </x:c>
      <x:c r="E71" t="str">
        <x:f>IF(C71=0,"",COUNTIFS(Calculation_Data!$A$2:$A$893,A71,Calculation_Data!$B$2:$B$893,B71,Calculation_Data!$C$2:$C$893,"&gt;=3")&amp;"/"&amp;C71&amp;" ("&amp;TEXT(COUNTIFS(Calculation_Data!$A$2:$A$893,A71,Calculation_Data!$B$2:$B$893,B71,Calculation_Data!$C$2:$C$893,"&gt;=3")/C71,"0.0%")&amp;")")</x:f>
        <x:v>3/8 (37.5%)</x:v>
      </x:c>
      <x:c r="F71" t="str">
        <x:f>IF(C71=0,"",COUNTIFS(Calculation_Data!$A$2:$A$893,A71,Calculation_Data!$B$2:$B$893,B71,Calculation_Data!$C$2:$C$893,"&gt;0")&amp;"/"&amp;C71&amp;" ("&amp;TEXT(COUNTIFS(Calculation_Data!$A$2:$A$893,A71,Calculation_Data!$B$2:$B$893,B71,Calculation_Data!$C$2:$C$893,"&gt;0")/C71,"0.0%")&amp;")")</x:f>
        <x:v>7/8 (87.5%)</x:v>
      </x:c>
      <x:c r="G71" t="n">
        <x:f>COUNTIFS(Calculation_Data!$A$2:$A$893,A71,Calculation_Data!$B$2:$B$893,B71,Calculation_Data!$C$2:$C$893,"&gt;0",Calculation_Data!$D$2:$D$893,"&gt;=0")</x:f>
        <x:v>7</x:v>
      </x:c>
      <x:c r="H71" s="8" t="n">
        <x:f>IF(G71=0,"",SUMIFS(Calculation_Data!$D$2:$D$893,Calculation_Data!$A$2:$A$893,A71,Calculation_Data!$B$2:$B$893,B71,Calculation_Data!$C$2:$C$893,"&gt;0")/G71)</x:f>
        <x:v>1.4285714285714286</x:v>
      </x:c>
      <x:c r="I71" t="str">
        <x:f>IF(G71=0,"",COUNTIFS(Calculation_Data!$A$2:$A$893,A71,Calculation_Data!$B$2:$B$893,B71,Calculation_Data!$C$2:$C$893,"&gt;0",Calculation_Data!$D$2:$D$893,"&gt;=3")&amp;"/"&amp;G71&amp;" ("&amp;TEXT(COUNTIFS(Calculation_Data!$A$2:$A$893,A71,Calculation_Data!$B$2:$B$893,B71,Calculation_Data!$C$2:$C$893,"&gt;0",Calculation_Data!$D$2:$D$893,"&gt;=3")/G71,"0.0%")&amp;")")</x:f>
        <x:v>0/7 (0.0%)</x:v>
      </x:c>
      <x:c r="J71" t="n">
        <x:f>IF(D71="","",1+COUNTIFS($A$2:$A$84,A71,$D$2:$D$84,"&gt;"&amp;D71))</x:f>
        <x:v>7</x:v>
      </x:c>
      <x:c r="K71" t="n">
        <x:f>IF(H71="","",1+COUNTIFS($A$2:$A$84,A71,$H$2:$H$84,"&gt;"&amp;H71))</x:f>
        <x:v>9</x:v>
      </x:c>
    </x:row>
    <x:row r="72">
      <x:c r="A72" s="5" t="str">
        <x:v>Communication &amp; Expression</x:v>
      </x:c>
      <x:c r="B72" s="5" t="str">
        <x:v>Written communication can sometimes be unclear due to formatting or structure issues.</x:v>
      </x:c>
      <x:c r="C72" t="n">
        <x:f>COUNTIFS(Calculation_Data!$A$2:$A$893,A72,Calculation_Data!$B$2:$B$893,B72,Calculation_Data!$C$2:$C$893,"&gt;=0")</x:f>
        <x:v>9</x:v>
      </x:c>
      <x:c r="D72" s="8" t="n">
        <x:f>IF(C72=0,"",SUMIFS(Calculation_Data!$C$2:$C$893,Calculation_Data!$A$2:$A$893,A72,Calculation_Data!$B$2:$B$893,B72)/C72)</x:f>
        <x:v>2</x:v>
      </x:c>
      <x:c r="E72" t="str">
        <x:f>IF(C72=0,"",COUNTIFS(Calculation_Data!$A$2:$A$893,A72,Calculation_Data!$B$2:$B$893,B72,Calculation_Data!$C$2:$C$893,"&gt;=3")&amp;"/"&amp;C72&amp;" ("&amp;TEXT(COUNTIFS(Calculation_Data!$A$2:$A$893,A72,Calculation_Data!$B$2:$B$893,B72,Calculation_Data!$C$2:$C$893,"&gt;=3")/C72,"0.0%")&amp;")")</x:f>
        <x:v>2/9 (22.2%)</x:v>
      </x:c>
      <x:c r="F72" t="str">
        <x:f>IF(C72=0,"",COUNTIFS(Calculation_Data!$A$2:$A$893,A72,Calculation_Data!$B$2:$B$893,B72,Calculation_Data!$C$2:$C$893,"&gt;0")&amp;"/"&amp;C72&amp;" ("&amp;TEXT(COUNTIFS(Calculation_Data!$A$2:$A$893,A72,Calculation_Data!$B$2:$B$893,B72,Calculation_Data!$C$2:$C$893,"&gt;0")/C72,"0.0%")&amp;")")</x:f>
        <x:v>9/9 (100.0%)</x:v>
      </x:c>
      <x:c r="G72" t="n">
        <x:f>COUNTIFS(Calculation_Data!$A$2:$A$893,A72,Calculation_Data!$B$2:$B$893,B72,Calculation_Data!$C$2:$C$893,"&gt;0",Calculation_Data!$D$2:$D$893,"&gt;=0")</x:f>
        <x:v>9</x:v>
      </x:c>
      <x:c r="H72" s="8" t="n">
        <x:f>IF(G72=0,"",SUMIFS(Calculation_Data!$D$2:$D$893,Calculation_Data!$A$2:$A$893,A72,Calculation_Data!$B$2:$B$893,B72,Calculation_Data!$C$2:$C$893,"&gt;0")/G72)</x:f>
        <x:v>1.4444444444444444</x:v>
      </x:c>
      <x:c r="I72" t="str">
        <x:f>IF(G72=0,"",COUNTIFS(Calculation_Data!$A$2:$A$893,A72,Calculation_Data!$B$2:$B$893,B72,Calculation_Data!$C$2:$C$893,"&gt;0",Calculation_Data!$D$2:$D$893,"&gt;=3")&amp;"/"&amp;G72&amp;" ("&amp;TEXT(COUNTIFS(Calculation_Data!$A$2:$A$893,A72,Calculation_Data!$B$2:$B$893,B72,Calculation_Data!$C$2:$C$893,"&gt;0",Calculation_Data!$D$2:$D$893,"&gt;=3")/G72,"0.0%")&amp;")")</x:f>
        <x:v>2/9 (22.2%)</x:v>
      </x:c>
      <x:c r="J72" t="n">
        <x:f>IF(D72="","",1+COUNTIFS($A$2:$A$84,A72,$D$2:$D$84,"&gt;"&amp;D72))</x:f>
        <x:v>7</x:v>
      </x:c>
      <x:c r="K72" t="n">
        <x:f>IF(H72="","",1+COUNTIFS($A$2:$A$84,A72,$H$2:$H$84,"&gt;"&amp;H72))</x:f>
        <x:v>8</x:v>
      </x:c>
    </x:row>
    <x:row r="73">
      <x:c r="A73" s="5" t="str">
        <x:v>Attention Difficulties</x:v>
      </x:c>
      <x:c r="B73" s="5" t="str">
        <x:v>Following long tutorials or documentation with many details can be difficult.</x:v>
      </x:c>
      <x:c r="C73" t="n">
        <x:f>COUNTIFS(Calculation_Data!$A$2:$A$893,A73,Calculation_Data!$B$2:$B$893,B73,Calculation_Data!$C$2:$C$893,"&gt;=0")</x:f>
        <x:v>15</x:v>
      </x:c>
      <x:c r="D73" s="8" t="n">
        <x:f>IF(C73=0,"",SUMIFS(Calculation_Data!$C$2:$C$893,Calculation_Data!$A$2:$A$893,A73,Calculation_Data!$B$2:$B$893,B73)/C73)</x:f>
        <x:v>2.6</x:v>
      </x:c>
      <x:c r="E73" t="str">
        <x:f>IF(C73=0,"",COUNTIFS(Calculation_Data!$A$2:$A$893,A73,Calculation_Data!$B$2:$B$893,B73,Calculation_Data!$C$2:$C$893,"&gt;=3")&amp;"/"&amp;C73&amp;" ("&amp;TEXT(COUNTIFS(Calculation_Data!$A$2:$A$893,A73,Calculation_Data!$B$2:$B$893,B73,Calculation_Data!$C$2:$C$893,"&gt;=3")/C73,"0.0%")&amp;")")</x:f>
        <x:v>9/15 (60.0%)</x:v>
      </x:c>
      <x:c r="F73" t="str">
        <x:f>IF(C73=0,"",COUNTIFS(Calculation_Data!$A$2:$A$893,A73,Calculation_Data!$B$2:$B$893,B73,Calculation_Data!$C$2:$C$893,"&gt;0")&amp;"/"&amp;C73&amp;" ("&amp;TEXT(COUNTIFS(Calculation_Data!$A$2:$A$893,A73,Calculation_Data!$B$2:$B$893,B73,Calculation_Data!$C$2:$C$893,"&gt;0")/C73,"0.0%")&amp;")")</x:f>
        <x:v>15/15 (100.0%)</x:v>
      </x:c>
      <x:c r="G73" t="n">
        <x:f>COUNTIFS(Calculation_Data!$A$2:$A$893,A73,Calculation_Data!$B$2:$B$893,B73,Calculation_Data!$C$2:$C$893,"&gt;0",Calculation_Data!$D$2:$D$893,"&gt;=0")</x:f>
        <x:v>15</x:v>
      </x:c>
      <x:c r="H73" s="8" t="n">
        <x:f>IF(G73=0,"",SUMIFS(Calculation_Data!$D$2:$D$893,Calculation_Data!$A$2:$A$893,A73,Calculation_Data!$B$2:$B$893,B73,Calculation_Data!$C$2:$C$893,"&gt;0")/G73)</x:f>
        <x:v>1.8666666666666667</x:v>
      </x:c>
      <x:c r="I73" t="str">
        <x:f>IF(G73=0,"",COUNTIFS(Calculation_Data!$A$2:$A$893,A73,Calculation_Data!$B$2:$B$893,B73,Calculation_Data!$C$2:$C$893,"&gt;0",Calculation_Data!$D$2:$D$893,"&gt;=3")&amp;"/"&amp;G73&amp;" ("&amp;TEXT(COUNTIFS(Calculation_Data!$A$2:$A$893,A73,Calculation_Data!$B$2:$B$893,B73,Calculation_Data!$C$2:$C$893,"&gt;0",Calculation_Data!$D$2:$D$893,"&gt;=3")/G73,"0.0%")&amp;")")</x:f>
        <x:v>5/15 (33.3%)</x:v>
      </x:c>
      <x:c r="J73" t="n">
        <x:f>IF(D73="","",1+COUNTIFS($A$2:$A$84,A73,$D$2:$D$84,"&gt;"&amp;D73))</x:f>
        <x:v>2</x:v>
      </x:c>
      <x:c r="K73" t="n">
        <x:f>IF(H73="","",1+COUNTIFS($A$2:$A$84,A73,$H$2:$H$84,"&gt;"&amp;H73))</x:f>
        <x:v>6</x:v>
      </x:c>
    </x:row>
    <x:row r="74">
      <x:c r="A74" s="5" t="str">
        <x:v>Attention Difficulties</x:v>
      </x:c>
      <x:c r="B74" s="5" t="str">
        <x:v>When too much information appears at once, it becomes harder to stay focused.</x:v>
      </x:c>
      <x:c r="C74" t="n">
        <x:f>COUNTIFS(Calculation_Data!$A$2:$A$893,A74,Calculation_Data!$B$2:$B$893,B74,Calculation_Data!$C$2:$C$893,"&gt;=0")</x:f>
        <x:v>14</x:v>
      </x:c>
      <x:c r="D74" s="8" t="n">
        <x:f>IF(C74=0,"",SUMIFS(Calculation_Data!$C$2:$C$893,Calculation_Data!$A$2:$A$893,A74,Calculation_Data!$B$2:$B$893,B74)/C74)</x:f>
        <x:v>2.5714285714285716</x:v>
      </x:c>
      <x:c r="E74" t="str">
        <x:f>IF(C74=0,"",COUNTIFS(Calculation_Data!$A$2:$A$893,A74,Calculation_Data!$B$2:$B$893,B74,Calculation_Data!$C$2:$C$893,"&gt;=3")&amp;"/"&amp;C74&amp;" ("&amp;TEXT(COUNTIFS(Calculation_Data!$A$2:$A$893,A74,Calculation_Data!$B$2:$B$893,B74,Calculation_Data!$C$2:$C$893,"&gt;=3")/C74,"0.0%")&amp;")")</x:f>
        <x:v>8/14 (57.1%)</x:v>
      </x:c>
      <x:c r="F74" t="str">
        <x:f>IF(C74=0,"",COUNTIFS(Calculation_Data!$A$2:$A$893,A74,Calculation_Data!$B$2:$B$893,B74,Calculation_Data!$C$2:$C$893,"&gt;0")&amp;"/"&amp;C74&amp;" ("&amp;TEXT(COUNTIFS(Calculation_Data!$A$2:$A$893,A74,Calculation_Data!$B$2:$B$893,B74,Calculation_Data!$C$2:$C$893,"&gt;0")/C74,"0.0%")&amp;")")</x:f>
        <x:v>14/14 (100.0%)</x:v>
      </x:c>
      <x:c r="G74" t="n">
        <x:f>COUNTIFS(Calculation_Data!$A$2:$A$893,A74,Calculation_Data!$B$2:$B$893,B74,Calculation_Data!$C$2:$C$893,"&gt;0",Calculation_Data!$D$2:$D$893,"&gt;=0")</x:f>
        <x:v>14</x:v>
      </x:c>
      <x:c r="H74" s="8" t="n">
        <x:f>IF(G74=0,"",SUMIFS(Calculation_Data!$D$2:$D$893,Calculation_Data!$A$2:$A$893,A74,Calculation_Data!$B$2:$B$893,B74,Calculation_Data!$C$2:$C$893,"&gt;0")/G74)</x:f>
        <x:v>2.142857142857143</x:v>
      </x:c>
      <x:c r="I74" t="str">
        <x:f>IF(G74=0,"",COUNTIFS(Calculation_Data!$A$2:$A$893,A74,Calculation_Data!$B$2:$B$893,B74,Calculation_Data!$C$2:$C$893,"&gt;0",Calculation_Data!$D$2:$D$893,"&gt;=3")&amp;"/"&amp;G74&amp;" ("&amp;TEXT(COUNTIFS(Calculation_Data!$A$2:$A$893,A74,Calculation_Data!$B$2:$B$893,B74,Calculation_Data!$C$2:$C$893,"&gt;0",Calculation_Data!$D$2:$D$893,"&gt;=3")/G74,"0.0%")&amp;")")</x:f>
        <x:v>4/14 (28.6%)</x:v>
      </x:c>
      <x:c r="J74" t="n">
        <x:f>IF(D74="","",1+COUNTIFS($A$2:$A$84,A74,$D$2:$D$84,"&gt;"&amp;D74))</x:f>
        <x:v>3</x:v>
      </x:c>
      <x:c r="K74" t="n">
        <x:f>IF(H74="","",1+COUNTIFS($A$2:$A$84,A74,$H$2:$H$84,"&gt;"&amp;H74))</x:f>
        <x:v>2</x:v>
      </x:c>
    </x:row>
    <x:row r="75">
      <x:c r="A75" s="5" t="str">
        <x:v>Attention Difficulties</x:v>
      </x:c>
      <x:c r="B75" s="5" t="str">
        <x:v>Multiple notifications, conversations, or tasks can make it difficult to maintain attention.</x:v>
      </x:c>
      <x:c r="C75" t="n">
        <x:f>COUNTIFS(Calculation_Data!$A$2:$A$893,A75,Calculation_Data!$B$2:$B$893,B75,Calculation_Data!$C$2:$C$893,"&gt;=0")</x:f>
        <x:v>15</x:v>
      </x:c>
      <x:c r="D75" s="8" t="n">
        <x:f>IF(C75=0,"",SUMIFS(Calculation_Data!$C$2:$C$893,Calculation_Data!$A$2:$A$893,A75,Calculation_Data!$B$2:$B$893,B75)/C75)</x:f>
        <x:v>3</x:v>
      </x:c>
      <x:c r="E75" t="str">
        <x:f>IF(C75=0,"",COUNTIFS(Calculation_Data!$A$2:$A$893,A75,Calculation_Data!$B$2:$B$893,B75,Calculation_Data!$C$2:$C$893,"&gt;=3")&amp;"/"&amp;C75&amp;" ("&amp;TEXT(COUNTIFS(Calculation_Data!$A$2:$A$893,A75,Calculation_Data!$B$2:$B$893,B75,Calculation_Data!$C$2:$C$893,"&gt;=3")/C75,"0.0%")&amp;")")</x:f>
        <x:v>12/15 (80.0%)</x:v>
      </x:c>
      <x:c r="F75" t="str">
        <x:f>IF(C75=0,"",COUNTIFS(Calculation_Data!$A$2:$A$893,A75,Calculation_Data!$B$2:$B$893,B75,Calculation_Data!$C$2:$C$893,"&gt;0")&amp;"/"&amp;C75&amp;" ("&amp;TEXT(COUNTIFS(Calculation_Data!$A$2:$A$893,A75,Calculation_Data!$B$2:$B$893,B75,Calculation_Data!$C$2:$C$893,"&gt;0")/C75,"0.0%")&amp;")")</x:f>
        <x:v>15/15 (100.0%)</x:v>
      </x:c>
      <x:c r="G75" t="n">
        <x:f>COUNTIFS(Calculation_Data!$A$2:$A$893,A75,Calculation_Data!$B$2:$B$893,B75,Calculation_Data!$C$2:$C$893,"&gt;0",Calculation_Data!$D$2:$D$893,"&gt;=0")</x:f>
        <x:v>15</x:v>
      </x:c>
      <x:c r="H75" s="8" t="n">
        <x:f>IF(G75=0,"",SUMIFS(Calculation_Data!$D$2:$D$893,Calculation_Data!$A$2:$A$893,A75,Calculation_Data!$B$2:$B$893,B75,Calculation_Data!$C$2:$C$893,"&gt;0")/G75)</x:f>
        <x:v>2.533333333333333</x:v>
      </x:c>
      <x:c r="I75" t="str">
        <x:f>IF(G75=0,"",COUNTIFS(Calculation_Data!$A$2:$A$893,A75,Calculation_Data!$B$2:$B$893,B75,Calculation_Data!$C$2:$C$893,"&gt;0",Calculation_Data!$D$2:$D$893,"&gt;=3")&amp;"/"&amp;G75&amp;" ("&amp;TEXT(COUNTIFS(Calculation_Data!$A$2:$A$893,A75,Calculation_Data!$B$2:$B$893,B75,Calculation_Data!$C$2:$C$893,"&gt;0",Calculation_Data!$D$2:$D$893,"&gt;=3")/G75,"0.0%")&amp;")")</x:f>
        <x:v>8/15 (53.3%)</x:v>
      </x:c>
      <x:c r="J75" t="n">
        <x:f>IF(D75="","",1+COUNTIFS($A$2:$A$84,A75,$D$2:$D$84,"&gt;"&amp;D75))</x:f>
        <x:v>1</x:v>
      </x:c>
      <x:c r="K75" t="n">
        <x:f>IF(H75="","",1+COUNTIFS($A$2:$A$84,A75,$H$2:$H$84,"&gt;"&amp;H75))</x:f>
        <x:v>1</x:v>
      </x:c>
    </x:row>
    <x:row r="76">
      <x:c r="A76" s="5" t="str">
        <x:v>Attention Difficulties</x:v>
      </x:c>
      <x:c r="B76" s="5" t="str">
        <x:v>Loss of focus can make it easier to miss errors in code or instructions.</x:v>
      </x:c>
      <x:c r="C76" t="n">
        <x:f>COUNTIFS(Calculation_Data!$A$2:$A$893,A76,Calculation_Data!$B$2:$B$893,B76,Calculation_Data!$C$2:$C$893,"&gt;=0")</x:f>
        <x:v>13</x:v>
      </x:c>
      <x:c r="D76" s="8" t="n">
        <x:f>IF(C76=0,"",SUMIFS(Calculation_Data!$C$2:$C$893,Calculation_Data!$A$2:$A$893,A76,Calculation_Data!$B$2:$B$893,B76)/C76)</x:f>
        <x:v>2.4615384615384617</x:v>
      </x:c>
      <x:c r="E76" t="str">
        <x:f>IF(C76=0,"",COUNTIFS(Calculation_Data!$A$2:$A$893,A76,Calculation_Data!$B$2:$B$893,B76,Calculation_Data!$C$2:$C$893,"&gt;=3")&amp;"/"&amp;C76&amp;" ("&amp;TEXT(COUNTIFS(Calculation_Data!$A$2:$A$893,A76,Calculation_Data!$B$2:$B$893,B76,Calculation_Data!$C$2:$C$893,"&gt;=3")/C76,"0.0%")&amp;")")</x:f>
        <x:v>6/13 (46.2%)</x:v>
      </x:c>
      <x:c r="F76" t="str">
        <x:f>IF(C76=0,"",COUNTIFS(Calculation_Data!$A$2:$A$893,A76,Calculation_Data!$B$2:$B$893,B76,Calculation_Data!$C$2:$C$893,"&gt;0")&amp;"/"&amp;C76&amp;" ("&amp;TEXT(COUNTIFS(Calculation_Data!$A$2:$A$893,A76,Calculation_Data!$B$2:$B$893,B76,Calculation_Data!$C$2:$C$893,"&gt;0")/C76,"0.0%")&amp;")")</x:f>
        <x:v>13/13 (100.0%)</x:v>
      </x:c>
      <x:c r="G76" t="n">
        <x:f>COUNTIFS(Calculation_Data!$A$2:$A$893,A76,Calculation_Data!$B$2:$B$893,B76,Calculation_Data!$C$2:$C$893,"&gt;0",Calculation_Data!$D$2:$D$893,"&gt;=0")</x:f>
        <x:v>13</x:v>
      </x:c>
      <x:c r="H76" s="8" t="n">
        <x:f>IF(G76=0,"",SUMIFS(Calculation_Data!$D$2:$D$893,Calculation_Data!$A$2:$A$893,A76,Calculation_Data!$B$2:$B$893,B76,Calculation_Data!$C$2:$C$893,"&gt;0")/G76)</x:f>
        <x:v>2</x:v>
      </x:c>
      <x:c r="I76" t="str">
        <x:f>IF(G76=0,"",COUNTIFS(Calculation_Data!$A$2:$A$893,A76,Calculation_Data!$B$2:$B$893,B76,Calculation_Data!$C$2:$C$893,"&gt;0",Calculation_Data!$D$2:$D$893,"&gt;=3")&amp;"/"&amp;G76&amp;" ("&amp;TEXT(COUNTIFS(Calculation_Data!$A$2:$A$893,A76,Calculation_Data!$B$2:$B$893,B76,Calculation_Data!$C$2:$C$893,"&gt;0",Calculation_Data!$D$2:$D$893,"&gt;=3")/G76,"0.0%")&amp;")")</x:f>
        <x:v>5/13 (38.5%)</x:v>
      </x:c>
      <x:c r="J76" t="n">
        <x:f>IF(D76="","",1+COUNTIFS($A$2:$A$84,A76,$D$2:$D$84,"&gt;"&amp;D76))</x:f>
        <x:v>4</x:v>
      </x:c>
      <x:c r="K76" t="n">
        <x:f>IF(H76="","",1+COUNTIFS($A$2:$A$84,A76,$H$2:$H$84,"&gt;"&amp;H76))</x:f>
        <x:v>4</x:v>
      </x:c>
    </x:row>
    <x:row r="77">
      <x:c r="A77" s="5" t="str">
        <x:v>Attention Difficulties</x:v>
      </x:c>
      <x:c r="B77" s="5" t="str">
        <x:v>Maintaining attention during complex technical configurations or setup tasks can be challenging.</x:v>
      </x:c>
      <x:c r="C77" t="n">
        <x:f>COUNTIFS(Calculation_Data!$A$2:$A$893,A77,Calculation_Data!$B$2:$B$893,B77,Calculation_Data!$C$2:$C$893,"&gt;=0")</x:f>
        <x:v>15</x:v>
      </x:c>
      <x:c r="D77" s="8" t="n">
        <x:f>IF(C77=0,"",SUMIFS(Calculation_Data!$C$2:$C$893,Calculation_Data!$A$2:$A$893,A77,Calculation_Data!$B$2:$B$893,B77)/C77)</x:f>
        <x:v>2.1333333333333333</x:v>
      </x:c>
      <x:c r="E77" t="str">
        <x:f>IF(C77=0,"",COUNTIFS(Calculation_Data!$A$2:$A$893,A77,Calculation_Data!$B$2:$B$893,B77,Calculation_Data!$C$2:$C$893,"&gt;=3")&amp;"/"&amp;C77&amp;" ("&amp;TEXT(COUNTIFS(Calculation_Data!$A$2:$A$893,A77,Calculation_Data!$B$2:$B$893,B77,Calculation_Data!$C$2:$C$893,"&gt;=3")/C77,"0.0%")&amp;")")</x:f>
        <x:v>5/15 (33.3%)</x:v>
      </x:c>
      <x:c r="F77" t="str">
        <x:f>IF(C77=0,"",COUNTIFS(Calculation_Data!$A$2:$A$893,A77,Calculation_Data!$B$2:$B$893,B77,Calculation_Data!$C$2:$C$893,"&gt;0")&amp;"/"&amp;C77&amp;" ("&amp;TEXT(COUNTIFS(Calculation_Data!$A$2:$A$893,A77,Calculation_Data!$B$2:$B$893,B77,Calculation_Data!$C$2:$C$893,"&gt;0")/C77,"0.0%")&amp;")")</x:f>
        <x:v>13/15 (86.7%)</x:v>
      </x:c>
      <x:c r="G77" t="n">
        <x:f>COUNTIFS(Calculation_Data!$A$2:$A$893,A77,Calculation_Data!$B$2:$B$893,B77,Calculation_Data!$C$2:$C$893,"&gt;0",Calculation_Data!$D$2:$D$893,"&gt;=0")</x:f>
        <x:v>13</x:v>
      </x:c>
      <x:c r="H77" s="8" t="n">
        <x:f>IF(G77=0,"",SUMIFS(Calculation_Data!$D$2:$D$893,Calculation_Data!$A$2:$A$893,A77,Calculation_Data!$B$2:$B$893,B77,Calculation_Data!$C$2:$C$893,"&gt;0")/G77)</x:f>
        <x:v>2</x:v>
      </x:c>
      <x:c r="I77" t="str">
        <x:f>IF(G77=0,"",COUNTIFS(Calculation_Data!$A$2:$A$893,A77,Calculation_Data!$B$2:$B$893,B77,Calculation_Data!$C$2:$C$893,"&gt;0",Calculation_Data!$D$2:$D$893,"&gt;=3")&amp;"/"&amp;G77&amp;" ("&amp;TEXT(COUNTIFS(Calculation_Data!$A$2:$A$893,A77,Calculation_Data!$B$2:$B$893,B77,Calculation_Data!$C$2:$C$893,"&gt;0",Calculation_Data!$D$2:$D$893,"&gt;=3")/G77,"0.0%")&amp;")")</x:f>
        <x:v>4/13 (30.8%)</x:v>
      </x:c>
      <x:c r="J77" t="n">
        <x:f>IF(D77="","",1+COUNTIFS($A$2:$A$84,A77,$D$2:$D$84,"&gt;"&amp;D77))</x:f>
        <x:v>6</x:v>
      </x:c>
      <x:c r="K77" t="n">
        <x:f>IF(H77="","",1+COUNTIFS($A$2:$A$84,A77,$H$2:$H$84,"&gt;"&amp;H77))</x:f>
        <x:v>4</x:v>
      </x:c>
    </x:row>
    <x:row r="78">
      <x:c r="A78" s="5" t="str">
        <x:v>Attention Difficulties</x:v>
      </x:c>
      <x:c r="B78" s="5" t="str">
        <x:v>When a task requires sustained concentration, focus can become difficult to maintain.</x:v>
      </x:c>
      <x:c r="C78" t="n">
        <x:f>COUNTIFS(Calculation_Data!$A$2:$A$893,A78,Calculation_Data!$B$2:$B$893,B78,Calculation_Data!$C$2:$C$893,"&gt;=0")</x:f>
        <x:v>14</x:v>
      </x:c>
      <x:c r="D78" s="8" t="n">
        <x:f>IF(C78=0,"",SUMIFS(Calculation_Data!$C$2:$C$893,Calculation_Data!$A$2:$A$893,A78,Calculation_Data!$B$2:$B$893,B78)/C78)</x:f>
        <x:v>1.9285714285714286</x:v>
      </x:c>
      <x:c r="E78" t="str">
        <x:f>IF(C78=0,"",COUNTIFS(Calculation_Data!$A$2:$A$893,A78,Calculation_Data!$B$2:$B$893,B78,Calculation_Data!$C$2:$C$893,"&gt;=3")&amp;"/"&amp;C78&amp;" ("&amp;TEXT(COUNTIFS(Calculation_Data!$A$2:$A$893,A78,Calculation_Data!$B$2:$B$893,B78,Calculation_Data!$C$2:$C$893,"&gt;=3")/C78,"0.0%")&amp;")")</x:f>
        <x:v>4/14 (28.6%)</x:v>
      </x:c>
      <x:c r="F78" t="str">
        <x:f>IF(C78=0,"",COUNTIFS(Calculation_Data!$A$2:$A$893,A78,Calculation_Data!$B$2:$B$893,B78,Calculation_Data!$C$2:$C$893,"&gt;0")&amp;"/"&amp;C78&amp;" ("&amp;TEXT(COUNTIFS(Calculation_Data!$A$2:$A$893,A78,Calculation_Data!$B$2:$B$893,B78,Calculation_Data!$C$2:$C$893,"&gt;0")/C78,"0.0%")&amp;")")</x:f>
        <x:v>12/14 (85.7%)</x:v>
      </x:c>
      <x:c r="G78" t="n">
        <x:f>COUNTIFS(Calculation_Data!$A$2:$A$893,A78,Calculation_Data!$B$2:$B$893,B78,Calculation_Data!$C$2:$C$893,"&gt;0",Calculation_Data!$D$2:$D$893,"&gt;=0")</x:f>
        <x:v>12</x:v>
      </x:c>
      <x:c r="H78" s="8" t="n">
        <x:f>IF(G78=0,"",SUMIFS(Calculation_Data!$D$2:$D$893,Calculation_Data!$A$2:$A$893,A78,Calculation_Data!$B$2:$B$893,B78,Calculation_Data!$C$2:$C$893,"&gt;0")/G78)</x:f>
        <x:v>1.75</x:v>
      </x:c>
      <x:c r="I78" t="str">
        <x:f>IF(G78=0,"",COUNTIFS(Calculation_Data!$A$2:$A$893,A78,Calculation_Data!$B$2:$B$893,B78,Calculation_Data!$C$2:$C$893,"&gt;0",Calculation_Data!$D$2:$D$893,"&gt;=3")&amp;"/"&amp;G78&amp;" ("&amp;TEXT(COUNTIFS(Calculation_Data!$A$2:$A$893,A78,Calculation_Data!$B$2:$B$893,B78,Calculation_Data!$C$2:$C$893,"&gt;0",Calculation_Data!$D$2:$D$893,"&gt;=3")/G78,"0.0%")&amp;")")</x:f>
        <x:v>3/12 (25.0%)</x:v>
      </x:c>
      <x:c r="J78" t="n">
        <x:f>IF(D78="","",1+COUNTIFS($A$2:$A$84,A78,$D$2:$D$84,"&gt;"&amp;D78))</x:f>
        <x:v>7</x:v>
      </x:c>
      <x:c r="K78" t="n">
        <x:f>IF(H78="","",1+COUNTIFS($A$2:$A$84,A78,$H$2:$H$84,"&gt;"&amp;H78))</x:f>
        <x:v>7</x:v>
      </x:c>
    </x:row>
    <x:row r="79">
      <x:c r="A79" s="5" t="str">
        <x:v>Attention Difficulties</x:v>
      </x:c>
      <x:c r="B79" s="5" t="str">
        <x:v>Small details in code or documentation can sometimes be easy to overlook.</x:v>
      </x:c>
      <x:c r="C79" t="n">
        <x:f>COUNTIFS(Calculation_Data!$A$2:$A$893,A79,Calculation_Data!$B$2:$B$893,B79,Calculation_Data!$C$2:$C$893,"&gt;=0")</x:f>
        <x:v>14</x:v>
      </x:c>
      <x:c r="D79" s="8" t="n">
        <x:f>IF(C79=0,"",SUMIFS(Calculation_Data!$C$2:$C$893,Calculation_Data!$A$2:$A$893,A79,Calculation_Data!$B$2:$B$893,B79)/C79)</x:f>
        <x:v>2.357142857142857</x:v>
      </x:c>
      <x:c r="E79" t="str">
        <x:f>IF(C79=0,"",COUNTIFS(Calculation_Data!$A$2:$A$893,A79,Calculation_Data!$B$2:$B$893,B79,Calculation_Data!$C$2:$C$893,"&gt;=3")&amp;"/"&amp;C79&amp;" ("&amp;TEXT(COUNTIFS(Calculation_Data!$A$2:$A$893,A79,Calculation_Data!$B$2:$B$893,B79,Calculation_Data!$C$2:$C$893,"&gt;=3")/C79,"0.0%")&amp;")")</x:f>
        <x:v>6/14 (42.9%)</x:v>
      </x:c>
      <x:c r="F79" t="str">
        <x:f>IF(C79=0,"",COUNTIFS(Calculation_Data!$A$2:$A$893,A79,Calculation_Data!$B$2:$B$893,B79,Calculation_Data!$C$2:$C$893,"&gt;0")&amp;"/"&amp;C79&amp;" ("&amp;TEXT(COUNTIFS(Calculation_Data!$A$2:$A$893,A79,Calculation_Data!$B$2:$B$893,B79,Calculation_Data!$C$2:$C$893,"&gt;0")/C79,"0.0%")&amp;")")</x:f>
        <x:v>13/14 (92.9%)</x:v>
      </x:c>
      <x:c r="G79" t="n">
        <x:f>COUNTIFS(Calculation_Data!$A$2:$A$893,A79,Calculation_Data!$B$2:$B$893,B79,Calculation_Data!$C$2:$C$893,"&gt;0",Calculation_Data!$D$2:$D$893,"&gt;=0")</x:f>
        <x:v>13</x:v>
      </x:c>
      <x:c r="H79" s="8" t="n">
        <x:f>IF(G79=0,"",SUMIFS(Calculation_Data!$D$2:$D$893,Calculation_Data!$A$2:$A$893,A79,Calculation_Data!$B$2:$B$893,B79,Calculation_Data!$C$2:$C$893,"&gt;0")/G79)</x:f>
        <x:v>2.076923076923077</x:v>
      </x:c>
      <x:c r="I79" t="str">
        <x:f>IF(G79=0,"",COUNTIFS(Calculation_Data!$A$2:$A$893,A79,Calculation_Data!$B$2:$B$893,B79,Calculation_Data!$C$2:$C$893,"&gt;0",Calculation_Data!$D$2:$D$893,"&gt;=3")&amp;"/"&amp;G79&amp;" ("&amp;TEXT(COUNTIFS(Calculation_Data!$A$2:$A$893,A79,Calculation_Data!$B$2:$B$893,B79,Calculation_Data!$C$2:$C$893,"&gt;0",Calculation_Data!$D$2:$D$893,"&gt;=3")/G79,"0.0%")&amp;")")</x:f>
        <x:v>5/13 (38.5%)</x:v>
      </x:c>
      <x:c r="J79" t="n">
        <x:f>IF(D79="","",1+COUNTIFS($A$2:$A$84,A79,$D$2:$D$84,"&gt;"&amp;D79))</x:f>
        <x:v>5</x:v>
      </x:c>
      <x:c r="K79" t="n">
        <x:f>IF(H79="","",1+COUNTIFS($A$2:$A$84,A79,$H$2:$H$84,"&gt;"&amp;H79))</x:f>
        <x:v>3</x:v>
      </x:c>
    </x:row>
    <x:row r="80">
      <x:c r="A80" s="5" t="str">
        <x:v>Planning, Organization, and Time Management</x:v>
      </x:c>
      <x:c r="B80" s="5" t="str">
        <x:v>Breaking down a problem and planning the steps before starting a task can be challenging.</x:v>
      </x:c>
      <x:c r="C80" t="n">
        <x:f>COUNTIFS(Calculation_Data!$A$2:$A$893,A80,Calculation_Data!$B$2:$B$893,B80,Calculation_Data!$C$2:$C$893,"&gt;=0")</x:f>
        <x:v>10</x:v>
      </x:c>
      <x:c r="D80" s="8" t="n">
        <x:f>IF(C80=0,"",SUMIFS(Calculation_Data!$C$2:$C$893,Calculation_Data!$A$2:$A$893,A80,Calculation_Data!$B$2:$B$893,B80)/C80)</x:f>
        <x:v>1.8</x:v>
      </x:c>
      <x:c r="E80" t="str">
        <x:f>IF(C80=0,"",COUNTIFS(Calculation_Data!$A$2:$A$893,A80,Calculation_Data!$B$2:$B$893,B80,Calculation_Data!$C$2:$C$893,"&gt;=3")&amp;"/"&amp;C80&amp;" ("&amp;TEXT(COUNTIFS(Calculation_Data!$A$2:$A$893,A80,Calculation_Data!$B$2:$B$893,B80,Calculation_Data!$C$2:$C$893,"&gt;=3")/C80,"0.0%")&amp;")")</x:f>
        <x:v>2/10 (20.0%)</x:v>
      </x:c>
      <x:c r="F80" t="str">
        <x:f>IF(C80=0,"",COUNTIFS(Calculation_Data!$A$2:$A$893,A80,Calculation_Data!$B$2:$B$893,B80,Calculation_Data!$C$2:$C$893,"&gt;0")&amp;"/"&amp;C80&amp;" ("&amp;TEXT(COUNTIFS(Calculation_Data!$A$2:$A$893,A80,Calculation_Data!$B$2:$B$893,B80,Calculation_Data!$C$2:$C$893,"&gt;0")/C80,"0.0%")&amp;")")</x:f>
        <x:v>9/10 (90.0%)</x:v>
      </x:c>
      <x:c r="G80" t="n">
        <x:f>COUNTIFS(Calculation_Data!$A$2:$A$893,A80,Calculation_Data!$B$2:$B$893,B80,Calculation_Data!$C$2:$C$893,"&gt;0",Calculation_Data!$D$2:$D$893,"&gt;=0")</x:f>
        <x:v>9</x:v>
      </x:c>
      <x:c r="H80" s="8" t="n">
        <x:f>IF(G80=0,"",SUMIFS(Calculation_Data!$D$2:$D$893,Calculation_Data!$A$2:$A$893,A80,Calculation_Data!$B$2:$B$893,B80,Calculation_Data!$C$2:$C$893,"&gt;0")/G80)</x:f>
        <x:v>1.5555555555555556</x:v>
      </x:c>
      <x:c r="I80" t="str">
        <x:f>IF(G80=0,"",COUNTIFS(Calculation_Data!$A$2:$A$893,A80,Calculation_Data!$B$2:$B$893,B80,Calculation_Data!$C$2:$C$893,"&gt;0",Calculation_Data!$D$2:$D$893,"&gt;=3")&amp;"/"&amp;G80&amp;" ("&amp;TEXT(COUNTIFS(Calculation_Data!$A$2:$A$893,A80,Calculation_Data!$B$2:$B$893,B80,Calculation_Data!$C$2:$C$893,"&gt;0",Calculation_Data!$D$2:$D$893,"&gt;=3")/G80,"0.0%")&amp;")")</x:f>
        <x:v>0/9 (0.0%)</x:v>
      </x:c>
      <x:c r="J80" t="n">
        <x:f>IF(D80="","",1+COUNTIFS($A$2:$A$84,A80,$D$2:$D$84,"&gt;"&amp;D80))</x:f>
        <x:v>5</x:v>
      </x:c>
      <x:c r="K80" t="n">
        <x:f>IF(H80="","",1+COUNTIFS($A$2:$A$84,A80,$H$2:$H$84,"&gt;"&amp;H80))</x:f>
        <x:v>5</x:v>
      </x:c>
    </x:row>
    <x:row r="81">
      <x:c r="A81" s="5" t="str">
        <x:v>Planning, Organization, and Time Management</x:v>
      </x:c>
      <x:c r="B81" s="5" t="str">
        <x:v>Managing several tasks at the same time can be difficult.</x:v>
      </x:c>
      <x:c r="C81" t="n">
        <x:f>COUNTIFS(Calculation_Data!$A$2:$A$893,A81,Calculation_Data!$B$2:$B$893,B81,Calculation_Data!$C$2:$C$893,"&gt;=0")</x:f>
        <x:v>10</x:v>
      </x:c>
      <x:c r="D81" s="8" t="n">
        <x:f>IF(C81=0,"",SUMIFS(Calculation_Data!$C$2:$C$893,Calculation_Data!$A$2:$A$893,A81,Calculation_Data!$B$2:$B$893,B81)/C81)</x:f>
        <x:v>2.2</x:v>
      </x:c>
      <x:c r="E81" t="str">
        <x:f>IF(C81=0,"",COUNTIFS(Calculation_Data!$A$2:$A$893,A81,Calculation_Data!$B$2:$B$893,B81,Calculation_Data!$C$2:$C$893,"&gt;=3")&amp;"/"&amp;C81&amp;" ("&amp;TEXT(COUNTIFS(Calculation_Data!$A$2:$A$893,A81,Calculation_Data!$B$2:$B$893,B81,Calculation_Data!$C$2:$C$893,"&gt;=3")/C81,"0.0%")&amp;")")</x:f>
        <x:v>4/10 (40.0%)</x:v>
      </x:c>
      <x:c r="F81" t="str">
        <x:f>IF(C81=0,"",COUNTIFS(Calculation_Data!$A$2:$A$893,A81,Calculation_Data!$B$2:$B$893,B81,Calculation_Data!$C$2:$C$893,"&gt;0")&amp;"/"&amp;C81&amp;" ("&amp;TEXT(COUNTIFS(Calculation_Data!$A$2:$A$893,A81,Calculation_Data!$B$2:$B$893,B81,Calculation_Data!$C$2:$C$893,"&gt;0")/C81,"0.0%")&amp;")")</x:f>
        <x:v>9/10 (90.0%)</x:v>
      </x:c>
      <x:c r="G81" t="n">
        <x:f>COUNTIFS(Calculation_Data!$A$2:$A$893,A81,Calculation_Data!$B$2:$B$893,B81,Calculation_Data!$C$2:$C$893,"&gt;0",Calculation_Data!$D$2:$D$893,"&gt;=0")</x:f>
        <x:v>9</x:v>
      </x:c>
      <x:c r="H81" s="8" t="n">
        <x:f>IF(G81=0,"",SUMIFS(Calculation_Data!$D$2:$D$893,Calculation_Data!$A$2:$A$893,A81,Calculation_Data!$B$2:$B$893,B81,Calculation_Data!$C$2:$C$893,"&gt;0")/G81)</x:f>
        <x:v>1.6666666666666667</x:v>
      </x:c>
      <x:c r="I81" t="str">
        <x:f>IF(G81=0,"",COUNTIFS(Calculation_Data!$A$2:$A$893,A81,Calculation_Data!$B$2:$B$893,B81,Calculation_Data!$C$2:$C$893,"&gt;0",Calculation_Data!$D$2:$D$893,"&gt;=3")&amp;"/"&amp;G81&amp;" ("&amp;TEXT(COUNTIFS(Calculation_Data!$A$2:$A$893,A81,Calculation_Data!$B$2:$B$893,B81,Calculation_Data!$C$2:$C$893,"&gt;0",Calculation_Data!$D$2:$D$893,"&gt;=3")/G81,"0.0%")&amp;")")</x:f>
        <x:v>2/9 (22.2%)</x:v>
      </x:c>
      <x:c r="J81" t="n">
        <x:f>IF(D81="","",1+COUNTIFS($A$2:$A$84,A81,$D$2:$D$84,"&gt;"&amp;D81))</x:f>
        <x:v>1</x:v>
      </x:c>
      <x:c r="K81" t="n">
        <x:f>IF(H81="","",1+COUNTIFS($A$2:$A$84,A81,$H$2:$H$84,"&gt;"&amp;H81))</x:f>
        <x:v>3</x:v>
      </x:c>
    </x:row>
    <x:row r="82">
      <x:c r="A82" s="5" t="str">
        <x:v>Planning, Organization, and Time Management</x:v>
      </x:c>
      <x:c r="B82" s="5" t="str">
        <x:v>Organizing tasks and priorities during development work can require extra effort.</x:v>
      </x:c>
      <x:c r="C82" t="n">
        <x:f>COUNTIFS(Calculation_Data!$A$2:$A$893,A82,Calculation_Data!$B$2:$B$893,B82,Calculation_Data!$C$2:$C$893,"&gt;=0")</x:f>
        <x:v>9</x:v>
      </x:c>
      <x:c r="D82" s="8" t="n">
        <x:f>IF(C82=0,"",SUMIFS(Calculation_Data!$C$2:$C$893,Calculation_Data!$A$2:$A$893,A82,Calculation_Data!$B$2:$B$893,B82)/C82)</x:f>
        <x:v>1.8888888888888888</x:v>
      </x:c>
      <x:c r="E82" t="str">
        <x:f>IF(C82=0,"",COUNTIFS(Calculation_Data!$A$2:$A$893,A82,Calculation_Data!$B$2:$B$893,B82,Calculation_Data!$C$2:$C$893,"&gt;=3")&amp;"/"&amp;C82&amp;" ("&amp;TEXT(COUNTIFS(Calculation_Data!$A$2:$A$893,A82,Calculation_Data!$B$2:$B$893,B82,Calculation_Data!$C$2:$C$893,"&gt;=3")/C82,"0.0%")&amp;")")</x:f>
        <x:v>2/9 (22.2%)</x:v>
      </x:c>
      <x:c r="F82" t="str">
        <x:f>IF(C82=0,"",COUNTIFS(Calculation_Data!$A$2:$A$893,A82,Calculation_Data!$B$2:$B$893,B82,Calculation_Data!$C$2:$C$893,"&gt;0")&amp;"/"&amp;C82&amp;" ("&amp;TEXT(COUNTIFS(Calculation_Data!$A$2:$A$893,A82,Calculation_Data!$B$2:$B$893,B82,Calculation_Data!$C$2:$C$893,"&gt;0")/C82,"0.0%")&amp;")")</x:f>
        <x:v>7/9 (77.8%)</x:v>
      </x:c>
      <x:c r="G82" t="n">
        <x:f>COUNTIFS(Calculation_Data!$A$2:$A$893,A82,Calculation_Data!$B$2:$B$893,B82,Calculation_Data!$C$2:$C$893,"&gt;0",Calculation_Data!$D$2:$D$893,"&gt;=0")</x:f>
        <x:v>7</x:v>
      </x:c>
      <x:c r="H82" s="8" t="n">
        <x:f>IF(G82=0,"",SUMIFS(Calculation_Data!$D$2:$D$893,Calculation_Data!$A$2:$A$893,A82,Calculation_Data!$B$2:$B$893,B82,Calculation_Data!$C$2:$C$893,"&gt;0")/G82)</x:f>
        <x:v>1.7142857142857142</x:v>
      </x:c>
      <x:c r="I82" t="str">
        <x:f>IF(G82=0,"",COUNTIFS(Calculation_Data!$A$2:$A$893,A82,Calculation_Data!$B$2:$B$893,B82,Calculation_Data!$C$2:$C$893,"&gt;0",Calculation_Data!$D$2:$D$893,"&gt;=3")&amp;"/"&amp;G82&amp;" ("&amp;TEXT(COUNTIFS(Calculation_Data!$A$2:$A$893,A82,Calculation_Data!$B$2:$B$893,B82,Calculation_Data!$C$2:$C$893,"&gt;0",Calculation_Data!$D$2:$D$893,"&gt;=3")/G82,"0.0%")&amp;")")</x:f>
        <x:v>1/7 (14.3%)</x:v>
      </x:c>
      <x:c r="J82" t="n">
        <x:f>IF(D82="","",1+COUNTIFS($A$2:$A$84,A82,$D$2:$D$84,"&gt;"&amp;D82))</x:f>
        <x:v>3</x:v>
      </x:c>
      <x:c r="K82" t="n">
        <x:f>IF(H82="","",1+COUNTIFS($A$2:$A$84,A82,$H$2:$H$84,"&gt;"&amp;H82))</x:f>
        <x:v>1</x:v>
      </x:c>
    </x:row>
    <x:row r="83">
      <x:c r="A83" s="5" t="str">
        <x:v>Planning, Organization, and Time Management</x:v>
      </x:c>
      <x:c r="B83" s="5" t="str">
        <x:v>Getting started on a coding task can sometimes take longer than expected.</x:v>
      </x:c>
      <x:c r="C83" t="n">
        <x:f>COUNTIFS(Calculation_Data!$A$2:$A$893,A83,Calculation_Data!$B$2:$B$893,B83,Calculation_Data!$C$2:$C$893,"&gt;=0")</x:f>
        <x:v>8</x:v>
      </x:c>
      <x:c r="D83" s="8" t="n">
        <x:f>IF(C83=0,"",SUMIFS(Calculation_Data!$C$2:$C$893,Calculation_Data!$A$2:$A$893,A83,Calculation_Data!$B$2:$B$893,B83)/C83)</x:f>
        <x:v>1.875</x:v>
      </x:c>
      <x:c r="E83" t="str">
        <x:f>IF(C83=0,"",COUNTIFS(Calculation_Data!$A$2:$A$893,A83,Calculation_Data!$B$2:$B$893,B83,Calculation_Data!$C$2:$C$893,"&gt;=3")&amp;"/"&amp;C83&amp;" ("&amp;TEXT(COUNTIFS(Calculation_Data!$A$2:$A$893,A83,Calculation_Data!$B$2:$B$893,B83,Calculation_Data!$C$2:$C$893,"&gt;=3")/C83,"0.0%")&amp;")")</x:f>
        <x:v>2/8 (25.0%)</x:v>
      </x:c>
      <x:c r="F83" t="str">
        <x:f>IF(C83=0,"",COUNTIFS(Calculation_Data!$A$2:$A$893,A83,Calculation_Data!$B$2:$B$893,B83,Calculation_Data!$C$2:$C$893,"&gt;0")&amp;"/"&amp;C83&amp;" ("&amp;TEXT(COUNTIFS(Calculation_Data!$A$2:$A$893,A83,Calculation_Data!$B$2:$B$893,B83,Calculation_Data!$C$2:$C$893,"&gt;0")/C83,"0.0%")&amp;")")</x:f>
        <x:v>7/8 (87.5%)</x:v>
      </x:c>
      <x:c r="G83" t="n">
        <x:f>COUNTIFS(Calculation_Data!$A$2:$A$893,A83,Calculation_Data!$B$2:$B$893,B83,Calculation_Data!$C$2:$C$893,"&gt;0",Calculation_Data!$D$2:$D$893,"&gt;=0")</x:f>
        <x:v>7</x:v>
      </x:c>
      <x:c r="H83" s="8" t="n">
        <x:f>IF(G83=0,"",SUMIFS(Calculation_Data!$D$2:$D$893,Calculation_Data!$A$2:$A$893,A83,Calculation_Data!$B$2:$B$893,B83,Calculation_Data!$C$2:$C$893,"&gt;0")/G83)</x:f>
        <x:v>1.7142857142857142</x:v>
      </x:c>
      <x:c r="I83" t="str">
        <x:f>IF(G83=0,"",COUNTIFS(Calculation_Data!$A$2:$A$893,A83,Calculation_Data!$B$2:$B$893,B83,Calculation_Data!$C$2:$C$893,"&gt;0",Calculation_Data!$D$2:$D$893,"&gt;=3")&amp;"/"&amp;G83&amp;" ("&amp;TEXT(COUNTIFS(Calculation_Data!$A$2:$A$893,A83,Calculation_Data!$B$2:$B$893,B83,Calculation_Data!$C$2:$C$893,"&gt;0",Calculation_Data!$D$2:$D$893,"&gt;=3")/G83,"0.0%")&amp;")")</x:f>
        <x:v>2/7 (28.6%)</x:v>
      </x:c>
      <x:c r="J83" t="n">
        <x:f>IF(D83="","",1+COUNTIFS($A$2:$A$84,A83,$D$2:$D$84,"&gt;"&amp;D83))</x:f>
        <x:v>4</x:v>
      </x:c>
      <x:c r="K83" t="n">
        <x:f>IF(H83="","",1+COUNTIFS($A$2:$A$84,A83,$H$2:$H$84,"&gt;"&amp;H83))</x:f>
        <x:v>1</x:v>
      </x:c>
    </x:row>
    <x:row r="84">
      <x:c r="A84" s="5" t="str">
        <x:v>Planning, Organization, and Time Management</x:v>
      </x:c>
      <x:c r="B84" s="5" t="str">
        <x:v>Extra time is often needed to think through or visualize a solution before beginning to code.</x:v>
      </x:c>
      <x:c r="C84" t="n">
        <x:f>COUNTIFS(Calculation_Data!$A$2:$A$893,A84,Calculation_Data!$B$2:$B$893,B84,Calculation_Data!$C$2:$C$893,"&gt;=0")</x:f>
        <x:v>9</x:v>
      </x:c>
      <x:c r="D84" s="8" t="n">
        <x:f>IF(C84=0,"",SUMIFS(Calculation_Data!$C$2:$C$893,Calculation_Data!$A$2:$A$893,A84,Calculation_Data!$B$2:$B$893,B84)/C84)</x:f>
        <x:v>2</x:v>
      </x:c>
      <x:c r="E84" t="str">
        <x:f>IF(C84=0,"",COUNTIFS(Calculation_Data!$A$2:$A$893,A84,Calculation_Data!$B$2:$B$893,B84,Calculation_Data!$C$2:$C$893,"&gt;=3")&amp;"/"&amp;C84&amp;" ("&amp;TEXT(COUNTIFS(Calculation_Data!$A$2:$A$893,A84,Calculation_Data!$B$2:$B$893,B84,Calculation_Data!$C$2:$C$893,"&gt;=3")/C84,"0.0%")&amp;")")</x:f>
        <x:v>3/9 (33.3%)</x:v>
      </x:c>
      <x:c r="F84" t="str">
        <x:f>IF(C84=0,"",COUNTIFS(Calculation_Data!$A$2:$A$893,A84,Calculation_Data!$B$2:$B$893,B84,Calculation_Data!$C$2:$C$893,"&gt;0")&amp;"/"&amp;C84&amp;" ("&amp;TEXT(COUNTIFS(Calculation_Data!$A$2:$A$893,A84,Calculation_Data!$B$2:$B$893,B84,Calculation_Data!$C$2:$C$893,"&gt;0")/C84,"0.0%")&amp;")")</x:f>
        <x:v>8/9 (88.9%)</x:v>
      </x:c>
      <x:c r="G84" t="n">
        <x:f>COUNTIFS(Calculation_Data!$A$2:$A$893,A84,Calculation_Data!$B$2:$B$893,B84,Calculation_Data!$C$2:$C$893,"&gt;0",Calculation_Data!$D$2:$D$893,"&gt;=0")</x:f>
        <x:v>8</x:v>
      </x:c>
      <x:c r="H84" s="8" t="n">
        <x:f>IF(G84=0,"",SUMIFS(Calculation_Data!$D$2:$D$893,Calculation_Data!$A$2:$A$893,A84,Calculation_Data!$B$2:$B$893,B84,Calculation_Data!$C$2:$C$893,"&gt;0")/G84)</x:f>
        <x:v>1.625</x:v>
      </x:c>
      <x:c r="I84" t="str">
        <x:f>IF(G84=0,"",COUNTIFS(Calculation_Data!$A$2:$A$893,A84,Calculation_Data!$B$2:$B$893,B84,Calculation_Data!$C$2:$C$893,"&gt;0",Calculation_Data!$D$2:$D$893,"&gt;=3")&amp;"/"&amp;G84&amp;" ("&amp;TEXT(COUNTIFS(Calculation_Data!$A$2:$A$893,A84,Calculation_Data!$B$2:$B$893,B84,Calculation_Data!$C$2:$C$893,"&gt;0",Calculation_Data!$D$2:$D$893,"&gt;=3")/G84,"0.0%")&amp;")")</x:f>
        <x:v>1/8 (12.5%)</x:v>
      </x:c>
      <x:c r="J84" t="n">
        <x:f>IF(D84="","",1+COUNTIFS($A$2:$A$84,A84,$D$2:$D$84,"&gt;"&amp;D84))</x:f>
        <x:v>2</x:v>
      </x:c>
      <x:c r="K84" t="n">
        <x:f>IF(H84="","",1+COUNTIFS($A$2:$A$84,A84,$H$2:$H$84,"&gt;"&amp;H84))</x:f>
        <x:v>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8" hidden="0" customWidth="1"/>
    <x:col min="3" max="3" width="12" hidden="0" customWidth="1"/>
    <x:col min="4" max="4" width="12" hidden="0" customWidth="1"/>
  </x:cols>
  <x:sheetData>
    <x:row r="1">
      <x:c r="A1" s="4" t="str">
        <x:v>Category</x:v>
      </x:c>
      <x:c r="B1" s="4" t="str">
        <x:v>Item</x:v>
      </x:c>
      <x:c r="C1" s="2" t="str">
        <x:v>Frequency</x:v>
      </x:c>
      <x:c r="D1" s="2" t="str">
        <x:v>Impact</x:v>
      </x:c>
    </x:row>
    <x:row r="2">
      <x:c r="A2" s="5" t="str">
        <x:v>Writing &amp; Spelling Difficulties</x:v>
      </x:c>
      <x:c r="B2" s="5" t="str">
        <x:v>Explaining ideas clearly when writing comments, documentation, or messages can be difficult.</x:v>
      </x:c>
      <x:c r="C2" t="n">
        <x:v>4</x:v>
      </x:c>
      <x:c r="D2" t="n">
        <x:v>3</x:v>
      </x:c>
    </x:row>
    <x:row r="3">
      <x:c r="A3" s="5" t="str">
        <x:v>Writing &amp; Spelling Difficulties</x:v>
      </x:c>
      <x:c r="B3" s="5" t="str">
        <x:v>Writing technical documentation clearly and accurately can be challenging.</x:v>
      </x:c>
      <x:c r="C3" t="n">
        <x:v>3</x:v>
      </x:c>
      <x:c r="D3" t="n">
        <x:v>3</x:v>
      </x:c>
    </x:row>
    <x:row r="4">
      <x:c r="A4" s="5" t="str">
        <x:v>Writing &amp; Spelling Difficulties</x:v>
      </x:c>
      <x:c r="B4" s="5" t="str">
        <x:v>Putting thoughts into clear written explanations can require extra time.</x:v>
      </x:c>
      <x:c r="C4" t="n">
        <x:v>3</x:v>
      </x:c>
      <x:c r="D4" t="n">
        <x:v>2</x:v>
      </x:c>
    </x:row>
    <x:row r="5">
      <x:c r="A5" s="5" t="str">
        <x:v>Writing &amp; Spelling Difficulties</x:v>
      </x:c>
      <x:c r="B5" s="5" t="str">
        <x:v>It can be difficult to notice and correct spelling mistakes in what I write.</x:v>
      </x:c>
      <x:c r="C5" t="n">
        <x:v>4</x:v>
      </x:c>
      <x:c r="D5" t="n">
        <x:v>3</x:v>
      </x:c>
    </x:row>
    <x:row r="6">
      <x:c r="A6" s="5" t="str">
        <x:v>Writing &amp; Spelling Difficulties</x:v>
      </x:c>
      <x:c r="B6" s="5" t="str">
        <x:v>Writing emails, chat messages, or issue descriptions can take extra effort or feel confusing.</x:v>
      </x:c>
      <x:c r="C6" t="n">
        <x:v>2</x:v>
      </x:c>
      <x:c r="D6" t="n">
        <x:v>3</x:v>
      </x:c>
    </x:row>
    <x:row r="7">
      <x:c r="A7" s="5" t="str">
        <x:v>Writing &amp; Spelling Difficulties</x:v>
      </x:c>
      <x:c r="B7" s="5" t="str">
        <x:v>Organizing written notes or explanations so they are easy for others to follow can be challenging.</x:v>
      </x:c>
      <x:c r="C7" t="n">
        <x:v>2</x:v>
      </x:c>
      <x:c r="D7" t="n">
        <x:v>2</x:v>
      </x:c>
    </x:row>
    <x:row r="8">
      <x:c r="A8" s="5" t="str">
        <x:v>Writing &amp; Spelling Difficulties</x:v>
      </x:c>
      <x:c r="B8" s="5" t="str">
        <x:v>Spelling difficulties can affect how variables, methods, or configuration names are written.</x:v>
      </x:c>
      <x:c r="C8" t="n">
        <x:v>2</x:v>
      </x:c>
      <x:c r="D8" t="n">
        <x:v>2</x:v>
      </x:c>
    </x:row>
    <x:row r="9">
      <x:c r="A9" s="5" t="str">
        <x:v>Writing &amp; Spelling Difficulties</x:v>
      </x:c>
      <x:c r="B9" s="5" t="str">
        <x:v>Typing mistakes can make it harder to produce clean or error-free code.</x:v>
      </x:c>
      <x:c r="C9" t="n">
        <x:v>2</x:v>
      </x:c>
      <x:c r="D9" t="n">
        <x:v>2</x:v>
      </x:c>
    </x:row>
    <x:row r="10">
      <x:c r="A10" s="5" t="str">
        <x:v>Writing &amp; Spelling Difficulties</x:v>
      </x:c>
      <x:c r="B10" s="5" t="str">
        <x:v>Writing with correct spelling often takes longer than expected.</x:v>
      </x:c>
      <x:c r="C10" t="n">
        <x:v>2</x:v>
      </x:c>
      <x:c r="D10" t="n">
        <x:v>2</x:v>
      </x:c>
    </x:row>
    <x:row r="11">
      <x:c r="A11" s="5" t="str">
        <x:v>Writing &amp; Spelling Difficulties</x:v>
      </x:c>
      <x:c r="B11" s="5" t="str">
        <x:v>Formatting written content so that it is easy to read can require extra effort.</x:v>
      </x:c>
      <x:c r="C11" t="n">
        <x:v>2</x:v>
      </x:c>
      <x:c r="D11" t="n">
        <x:v>2</x:v>
      </x:c>
    </x:row>
    <x:row r="12">
      <x:c r="A12" s="5" t="str">
        <x:v>Writing &amp; Spelling Difficulties</x:v>
      </x:c>
      <x:c r="B12" s="5" t="str">
        <x:v>Misspellings in code can lead to inconsistent variable or function names.</x:v>
      </x:c>
      <x:c r="C12" t="n">
        <x:v>2</x:v>
      </x:c>
      <x:c r="D12" t="n">
        <x:v>2</x:v>
      </x:c>
    </x:row>
    <x:row r="13">
      <x:c r="A13" s="5" t="str">
        <x:v>Writing &amp; Spelling Difficulties</x:v>
      </x:c>
      <x:c r="B13" s="5" t="str">
        <x:v>Concerns about spelling mistakes can sometimes create stress or self-doubt when writing.</x:v>
      </x:c>
      <x:c r="C13" t="n">
        <x:v>2</x:v>
      </x:c>
      <x:c r="D13" t="n">
        <x:v>2</x:v>
      </x:c>
    </x:row>
    <x:row r="14">
      <x:c r="A14" s="5" t="str">
        <x:v>Attention Difficulties</x:v>
      </x:c>
      <x:c r="B14" s="5" t="str">
        <x:v>Small details in code or documentation can sometimes be easy to overlook.</x:v>
      </x:c>
      <x:c r="C14" t="n">
        <x:v>4</x:v>
      </x:c>
      <x:c r="D14" t="n">
        <x:v>3</x:v>
      </x:c>
    </x:row>
    <x:row r="15">
      <x:c r="A15" s="5" t="str">
        <x:v>Attention Difficulties</x:v>
      </x:c>
      <x:c r="B15" s="5" t="str">
        <x:v>Loss of focus can make it easier to miss errors in code or instructions.</x:v>
      </x:c>
      <x:c r="C15" t="n">
        <x:v>4</x:v>
      </x:c>
      <x:c r="D15" t="n">
        <x:v>3</x:v>
      </x:c>
    </x:row>
    <x:row r="16">
      <x:c r="A16" s="5" t="str">
        <x:v>Attention Difficulties</x:v>
      </x:c>
      <x:c r="B16" s="5" t="str">
        <x:v>When too much information appears at once, it becomes harder to stay focused.</x:v>
      </x:c>
      <x:c r="C16" t="n">
        <x:v>3</x:v>
      </x:c>
      <x:c r="D16" t="n">
        <x:v>3</x:v>
      </x:c>
    </x:row>
    <x:row r="17">
      <x:c r="A17" s="5" t="str">
        <x:v>Attention Difficulties</x:v>
      </x:c>
      <x:c r="B17" s="5" t="str">
        <x:v>Multiple notifications, conversations, or tasks can make it difficult to maintain attention.</x:v>
      </x:c>
      <x:c r="C17" t="n">
        <x:v>3</x:v>
      </x:c>
      <x:c r="D17" t="n">
        <x:v>3</x:v>
      </x:c>
    </x:row>
    <x:row r="18">
      <x:c r="A18" s="5" t="str">
        <x:v>Attention Difficulties</x:v>
      </x:c>
      <x:c r="B18" s="5" t="str">
        <x:v>Following long tutorials or documentation with many details can be difficult.</x:v>
      </x:c>
      <x:c r="C18" t="n">
        <x:v>3</x:v>
      </x:c>
      <x:c r="D18" t="n">
        <x:v>3</x:v>
      </x:c>
    </x:row>
    <x:row r="19">
      <x:c r="A19" s="5" t="str">
        <x:v>Attention Difficulties</x:v>
      </x:c>
      <x:c r="B19" s="5" t="str">
        <x:v>When a task requires sustained concentration, focus can become difficult to maintain.</x:v>
      </x:c>
      <x:c r="C19" t="n">
        <x:v>3</x:v>
      </x:c>
      <x:c r="D19" t="n">
        <x:v>3</x:v>
      </x:c>
    </x:row>
    <x:row r="20">
      <x:c r="A20" s="5" t="str">
        <x:v>Attention Difficulties</x:v>
      </x:c>
      <x:c r="B20" s="5" t="str">
        <x:v>Maintaining attention during complex technical configurations or setup tasks can be challenging.</x:v>
      </x:c>
      <x:c r="C20" t="n">
        <x:v>3</x:v>
      </x:c>
      <x:c r="D20" t="n">
        <x:v>3</x:v>
      </x:c>
    </x:row>
    <x:row r="21">
      <x:c r="A21" s="5" t="str">
        <x:v>Attention Difficulties</x:v>
      </x:c>
      <x:c r="B21" s="5" t="str">
        <x:v>Following long tutorials or documentation with many details can be difficult.</x:v>
      </x:c>
      <x:c r="C21" t="n">
        <x:v>2</x:v>
      </x:c>
      <x:c r="D21" t="n">
        <x:v>2</x:v>
      </x:c>
    </x:row>
    <x:row r="22">
      <x:c r="A22" s="5" t="str">
        <x:v>Attention Difficulties</x:v>
      </x:c>
      <x:c r="B22" s="5" t="str">
        <x:v>Maintaining attention during complex technical configurations or setup tasks can be challenging.</x:v>
      </x:c>
      <x:c r="C22" t="n">
        <x:v>2</x:v>
      </x:c>
      <x:c r="D22" t="n">
        <x:v>2</x:v>
      </x:c>
    </x:row>
    <x:row r="23">
      <x:c r="A23" s="5" t="str">
        <x:v>Attention Difficulties</x:v>
      </x:c>
      <x:c r="B23" s="5" t="str">
        <x:v>Small details in code or documentation can sometimes be easy to overlook.</x:v>
      </x:c>
      <x:c r="C23" t="n">
        <x:v>1</x:v>
      </x:c>
      <x:c r="D23" t="n">
        <x:v>1</x:v>
      </x:c>
    </x:row>
    <x:row r="24">
      <x:c r="A24" s="5" t="str">
        <x:v>Attention Difficulties</x:v>
      </x:c>
      <x:c r="B24" s="5" t="str">
        <x:v>When too much information appears at once, it becomes harder to stay focused.</x:v>
      </x:c>
      <x:c r="C24" t="n">
        <x:v>2</x:v>
      </x:c>
      <x:c r="D24" t="n">
        <x:v>2</x:v>
      </x:c>
    </x:row>
    <x:row r="25">
      <x:c r="A25" s="5" t="str">
        <x:v>Attention Difficulties</x:v>
      </x:c>
      <x:c r="B25" s="5" t="str">
        <x:v>Multiple notifications, conversations, or tasks can make it difficult to maintain attention.</x:v>
      </x:c>
      <x:c r="C25" t="n">
        <x:v>3</x:v>
      </x:c>
      <x:c r="D25" t="n">
        <x:v>3</x:v>
      </x:c>
    </x:row>
    <x:row r="26">
      <x:c r="A26" s="5" t="str">
        <x:v>Attention Difficulties</x:v>
      </x:c>
      <x:c r="B26" s="5" t="str">
        <x:v>Loss of focus can make it easier to miss errors in code or instructions.</x:v>
      </x:c>
      <x:c r="C26" t="n">
        <x:v>2</x:v>
      </x:c>
      <x:c r="D26" t="n">
        <x:v>2</x:v>
      </x:c>
    </x:row>
    <x:row r="27">
      <x:c r="A27" s="5" t="str">
        <x:v>Planning, Organization, and Time Management</x:v>
      </x:c>
      <x:c r="B27" s="5" t="str">
        <x:v>Extra time is often needed to think through or visualize a solution before beginning to code.</x:v>
      </x:c>
      <x:c r="C27" t="n">
        <x:v>2</x:v>
      </x:c>
      <x:c r="D27" t="n">
        <x:v>2</x:v>
      </x:c>
    </x:row>
    <x:row r="28">
      <x:c r="A28" s="5" t="str">
        <x:v>Planning, Organization, and Time Management</x:v>
      </x:c>
      <x:c r="B28" s="5" t="str">
        <x:v>Managing several tasks at the same time can be difficult.</x:v>
      </x:c>
      <x:c r="C28" t="n">
        <x:v>2</x:v>
      </x:c>
      <x:c r="D28" t="n">
        <x:v>1</x:v>
      </x:c>
    </x:row>
    <x:row r="29">
      <x:c r="A29" s="5" t="str">
        <x:v>Planning, Organization, and Time Management</x:v>
      </x:c>
      <x:c r="B29" s="5" t="str">
        <x:v>Getting started on a coding task can sometimes take longer than expected.</x:v>
      </x:c>
      <x:c r="C29" t="n">
        <x:v>1</x:v>
      </x:c>
      <x:c r="D29" t="n">
        <x:v>1</x:v>
      </x:c>
    </x:row>
    <x:row r="30">
      <x:c r="A30" s="5" t="str">
        <x:v>Planning, Organization, and Time Management</x:v>
      </x:c>
      <x:c r="B30" s="5" t="str">
        <x:v>Breaking down a problem and planning the steps before starting a task can be challenging.</x:v>
      </x:c>
      <x:c r="C30" t="n">
        <x:v>1</x:v>
      </x:c>
      <x:c r="D30" t="n">
        <x:v>1</x:v>
      </x:c>
    </x:row>
    <x:row r="31">
      <x:c r="A31" s="5" t="str">
        <x:v>Planning, Organization, and Time Management</x:v>
      </x:c>
      <x:c r="B31" s="5" t="str">
        <x:v>Organizing tasks and priorities during development work can require extra effort.</x:v>
      </x:c>
      <x:c r="C31" t="n">
        <x:v>2</x:v>
      </x:c>
      <x:c r="D31" t="n">
        <x:v>1</x:v>
      </x:c>
    </x:row>
    <x:row r="32">
      <x:c r="A32" s="5" t="str">
        <x:v>Attention Difficulties</x:v>
      </x:c>
      <x:c r="B32" s="5" t="str">
        <x:v>Following long tutorials or documentation with many details can be difficult.</x:v>
      </x:c>
      <x:c r="C32" t="n">
        <x:v>1</x:v>
      </x:c>
      <x:c r="D32" t="n">
        <x:v>1</x:v>
      </x:c>
    </x:row>
    <x:row r="33">
      <x:c r="A33" s="5" t="str">
        <x:v>Attention Difficulties</x:v>
      </x:c>
      <x:c r="B33" s="5" t="str">
        <x:v>Maintaining attention during complex technical configurations or setup tasks can be challenging.</x:v>
      </x:c>
      <x:c r="C33" t="n">
        <x:v>1</x:v>
      </x:c>
      <x:c r="D33" t="n">
        <x:v>1</x:v>
      </x:c>
    </x:row>
    <x:row r="34">
      <x:c r="A34" s="5" t="str">
        <x:v>Attention Difficulties</x:v>
      </x:c>
      <x:c r="B34" s="5" t="str">
        <x:v>When a task requires sustained concentration, focus can become difficult to maintain.</x:v>
      </x:c>
      <x:c r="C34" t="n">
        <x:v>2</x:v>
      </x:c>
      <x:c r="D34" t="n">
        <x:v>1</x:v>
      </x:c>
    </x:row>
    <x:row r="35">
      <x:c r="A35" s="5" t="str">
        <x:v>Attention Difficulties</x:v>
      </x:c>
      <x:c r="B35" s="5" t="str">
        <x:v>Multiple notifications, conversations, or tasks can make it difficult to maintain attention.</x:v>
      </x:c>
      <x:c r="C35" t="n">
        <x:v>2</x:v>
      </x:c>
      <x:c r="D35" t="n">
        <x:v>2</x:v>
      </x:c>
    </x:row>
    <x:row r="36">
      <x:c r="A36" s="5" t="str">
        <x:v>Attention Difficulties</x:v>
      </x:c>
      <x:c r="B36" s="5" t="str">
        <x:v>Loss of focus can make it easier to miss errors in code or instructions.</x:v>
      </x:c>
      <x:c r="C36" t="n">
        <x:v>1</x:v>
      </x:c>
      <x:c r="D36" t="n">
        <x:v>1</x:v>
      </x:c>
    </x:row>
    <x:row r="37">
      <x:c r="A37" s="5" t="str">
        <x:v>Attention Difficulties</x:v>
      </x:c>
      <x:c r="B37" s="5" t="str">
        <x:v>When too much information appears at once, it becomes harder to stay focused.</x:v>
      </x:c>
      <x:c r="C37" t="n">
        <x:v>1</x:v>
      </x:c>
      <x:c r="D37" t="n">
        <x:v>2</x:v>
      </x:c>
    </x:row>
    <x:row r="38">
      <x:c r="A38" s="5" t="str">
        <x:v>Attention Difficulties</x:v>
      </x:c>
      <x:c r="B38" s="5" t="str">
        <x:v>Small details in code or documentation can sometimes be easy to overlook.</x:v>
      </x:c>
      <x:c r="C38" t="n">
        <x:v>1</x:v>
      </x:c>
      <x:c r="D38" t="n">
        <x:v>1</x:v>
      </x:c>
    </x:row>
    <x:row r="39">
      <x:c r="A39" s="5" t="str">
        <x:v>Writing &amp; Spelling Difficulties</x:v>
      </x:c>
      <x:c r="B39" s="5" t="str">
        <x:v>Putting thoughts into clear written explanations can require extra time.</x:v>
      </x:c>
      <x:c r="C39" t="n">
        <x:v>2</x:v>
      </x:c>
      <x:c r="D39" t="n">
        <x:v>1</x:v>
      </x:c>
    </x:row>
    <x:row r="40">
      <x:c r="A40" s="5" t="str">
        <x:v>Writing &amp; Spelling Difficulties</x:v>
      </x:c>
      <x:c r="B40" s="5" t="str">
        <x:v>Misspellings in code can lead to inconsistent variable or function names.</x:v>
      </x:c>
      <x:c r="C40" t="n">
        <x:v>1</x:v>
      </x:c>
      <x:c r="D40" t="n">
        <x:v>1</x:v>
      </x:c>
    </x:row>
    <x:row r="41">
      <x:c r="A41" s="5" t="str">
        <x:v>Writing &amp; Spelling Difficulties</x:v>
      </x:c>
      <x:c r="B41" s="5" t="str">
        <x:v>Explaining ideas clearly when writing comments, documentation, or messages can be difficult.</x:v>
      </x:c>
      <x:c r="C41" t="n">
        <x:v>1</x:v>
      </x:c>
      <x:c r="D41" t="n">
        <x:v>2</x:v>
      </x:c>
    </x:row>
    <x:row r="42">
      <x:c r="A42" s="5" t="str">
        <x:v>Writing &amp; Spelling Difficulties</x:v>
      </x:c>
      <x:c r="B42" s="5" t="str">
        <x:v>Writing emails, chat messages, or issue descriptions can take extra effort or feel confusing.</x:v>
      </x:c>
      <x:c r="C42" t="n">
        <x:v>2</x:v>
      </x:c>
      <x:c r="D42" t="n">
        <x:v>2</x:v>
      </x:c>
    </x:row>
    <x:row r="43">
      <x:c r="A43" s="5" t="str">
        <x:v>Writing &amp; Spelling Difficulties</x:v>
      </x:c>
      <x:c r="B43" s="5" t="str">
        <x:v>It can be difficult to notice and correct spelling mistakes in what I write.</x:v>
      </x:c>
      <x:c r="C43" t="n">
        <x:v>2</x:v>
      </x:c>
      <x:c r="D43" t="n">
        <x:v>2</x:v>
      </x:c>
    </x:row>
    <x:row r="44">
      <x:c r="A44" s="5" t="str">
        <x:v>Writing &amp; Spelling Difficulties</x:v>
      </x:c>
      <x:c r="B44" s="5" t="str">
        <x:v>Writing technical documentation clearly and accurately can be challenging.</x:v>
      </x:c>
      <x:c r="C44" t="n">
        <x:v>2</x:v>
      </x:c>
      <x:c r="D44" t="n">
        <x:v>2</x:v>
      </x:c>
    </x:row>
    <x:row r="45">
      <x:c r="A45" s="5" t="str">
        <x:v>Writing &amp; Spelling Difficulties</x:v>
      </x:c>
      <x:c r="B45" s="5" t="str">
        <x:v>Writing with correct spelling often takes longer than expected.</x:v>
      </x:c>
      <x:c r="C45" t="n">
        <x:v>2</x:v>
      </x:c>
      <x:c r="D45" t="n">
        <x:v>2</x:v>
      </x:c>
    </x:row>
    <x:row r="46">
      <x:c r="A46" s="5" t="str">
        <x:v>Writing &amp; Spelling Difficulties</x:v>
      </x:c>
      <x:c r="B46" s="5" t="str">
        <x:v>Organizing written notes or explanations so they are easy for others to follow can be challenging.</x:v>
      </x:c>
      <x:c r="C46" t="n">
        <x:v>1</x:v>
      </x:c>
      <x:c r="D46" t="n">
        <x:v>2</x:v>
      </x:c>
    </x:row>
    <x:row r="47">
      <x:c r="A47" s="5" t="str">
        <x:v>Writing &amp; Spelling Difficulties</x:v>
      </x:c>
      <x:c r="B47" s="5" t="str">
        <x:v>Spelling difficulties can affect how variables, methods, or configuration names are written.</x:v>
      </x:c>
      <x:c r="C47" t="n">
        <x:v>1</x:v>
      </x:c>
      <x:c r="D47" t="n">
        <x:v>2</x:v>
      </x:c>
    </x:row>
    <x:row r="48">
      <x:c r="A48" s="5" t="str">
        <x:v>Writing &amp; Spelling Difficulties</x:v>
      </x:c>
      <x:c r="B48" s="5" t="str">
        <x:v>Typing mistakes can make it harder to produce clean or error-free code.</x:v>
      </x:c>
      <x:c r="C48" t="n">
        <x:v>1</x:v>
      </x:c>
      <x:c r="D48" t="n">
        <x:v>2</x:v>
      </x:c>
    </x:row>
    <x:row r="49">
      <x:c r="A49" s="5" t="str">
        <x:v>Writing &amp; Spelling Difficulties</x:v>
      </x:c>
      <x:c r="B49" s="5" t="str">
        <x:v>Concerns about spelling mistakes can sometimes create stress or self-doubt when writing.</x:v>
      </x:c>
      <x:c r="C49" t="n">
        <x:v>1</x:v>
      </x:c>
      <x:c r="D49" t="n">
        <x:v>1</x:v>
      </x:c>
    </x:row>
    <x:row r="50">
      <x:c r="A50" s="5" t="str">
        <x:v>Writing &amp; Spelling Difficulties</x:v>
      </x:c>
      <x:c r="B50" s="5" t="str">
        <x:v>Formatting written content so that it is easy to read can require extra effort.</x:v>
      </x:c>
      <x:c r="C50" t="n">
        <x:v>1</x:v>
      </x:c>
      <x:c r="D50" t="n">
        <x:v>1</x:v>
      </x:c>
    </x:row>
    <x:row r="51">
      <x:c r="A51" s="5" t="str">
        <x:v>Writing &amp; Spelling Difficulties</x:v>
      </x:c>
      <x:c r="B51" s="5" t="str">
        <x:v>Writing with correct spelling often takes longer than expected.</x:v>
      </x:c>
      <x:c r="C51" t="n">
        <x:v>3</x:v>
      </x:c>
      <x:c r="D51" t="n">
        <x:v>2</x:v>
      </x:c>
    </x:row>
    <x:row r="52">
      <x:c r="A52" s="5" t="str">
        <x:v>Writing &amp; Spelling Difficulties</x:v>
      </x:c>
      <x:c r="B52" s="5" t="str">
        <x:v>Typing mistakes can make it harder to produce clean or error-free code.</x:v>
      </x:c>
      <x:c r="C52" t="n">
        <x:v>3</x:v>
      </x:c>
      <x:c r="D52" t="n">
        <x:v>2</x:v>
      </x:c>
    </x:row>
    <x:row r="53">
      <x:c r="A53" s="5" t="str">
        <x:v>Writing &amp; Spelling Difficulties</x:v>
      </x:c>
      <x:c r="B53" s="5" t="str">
        <x:v>Misspellings in code can lead to inconsistent variable or function names.</x:v>
      </x:c>
      <x:c r="C53" t="n">
        <x:v>3</x:v>
      </x:c>
      <x:c r="D53" t="n">
        <x:v>2</x:v>
      </x:c>
    </x:row>
    <x:row r="54">
      <x:c r="A54" s="5" t="str">
        <x:v>Writing &amp; Spelling Difficulties</x:v>
      </x:c>
      <x:c r="B54" s="5" t="str">
        <x:v>Spelling difficulties can affect how variables, methods, or configuration names are written.</x:v>
      </x:c>
      <x:c r="C54" t="n">
        <x:v>3</x:v>
      </x:c>
      <x:c r="D54" t="n">
        <x:v>2</x:v>
      </x:c>
    </x:row>
    <x:row r="55">
      <x:c r="A55" s="5" t="str">
        <x:v>Writing &amp; Spelling Difficulties</x:v>
      </x:c>
      <x:c r="B55" s="5" t="str">
        <x:v>Writing technical documentation clearly and accurately can be challenging.</x:v>
      </x:c>
      <x:c r="C55" t="n">
        <x:v>4</x:v>
      </x:c>
      <x:c r="D55" t="n">
        <x:v>4</x:v>
      </x:c>
    </x:row>
    <x:row r="56">
      <x:c r="A56" s="5" t="str">
        <x:v>Communication &amp; Expression</x:v>
      </x:c>
      <x:c r="B56" s="5" t="str">
        <x:v>Organizing thoughts clearly while speaking in conversations can be challenging.</x:v>
      </x:c>
      <x:c r="C56" t="n">
        <x:v>3</x:v>
      </x:c>
      <x:c r="D56" t="n">
        <x:v>2</x:v>
      </x:c>
    </x:row>
    <x:row r="57">
      <x:c r="A57" s="5" t="str">
        <x:v>Communication &amp; Expression</x:v>
      </x:c>
      <x:c r="B57" s="5" t="str">
        <x:v>Explaining processes or ideas step-by-step can be challenging.</x:v>
      </x:c>
      <x:c r="C57" t="n">
        <x:v>1</x:v>
      </x:c>
      <x:c r="D57" t="n">
        <x:v>0</x:v>
      </x:c>
    </x:row>
    <x:row r="58">
      <x:c r="A58" s="5" t="str">
        <x:v>Communication &amp; Expression</x:v>
      </x:c>
      <x:c r="B58" s="5" t="str">
        <x:v>Written communication can sometimes be unclear due to formatting or structure issues.</x:v>
      </x:c>
      <x:c r="C58" t="n">
        <x:v>2</x:v>
      </x:c>
      <x:c r="D58" t="n">
        <x:v>1</x:v>
      </x:c>
    </x:row>
    <x:row r="59">
      <x:c r="A59" s="5" t="str">
        <x:v>Communication &amp; Expression</x:v>
      </x:c>
      <x:c r="B59" s="5" t="str">
        <x:v>Finding the right words to explain technical ideas can sometimes be difficult.</x:v>
      </x:c>
      <x:c r="C59" t="n">
        <x:v>1</x:v>
      </x:c>
      <x:c r="D59" t="n">
        <x:v>0</x:v>
      </x:c>
    </x:row>
    <x:row r="60">
      <x:c r="A60" s="5" t="str">
        <x:v>Communication &amp; Expression</x:v>
      </x:c>
      <x:c r="B60" s="5" t="str">
        <x:v>Explaining ideas in a way that others easily understand can take extra effort.</x:v>
      </x:c>
      <x:c r="C60" t="n">
        <x:v>2</x:v>
      </x:c>
      <x:c r="D60" t="n">
        <x:v>1</x:v>
      </x:c>
    </x:row>
    <x:row r="61">
      <x:c r="A61" s="5" t="str">
        <x:v>Communication &amp; Expression</x:v>
      </x:c>
      <x:c r="B61" s="5" t="str">
        <x:v>Explaining visual ideas or mental models to others can be challenging.</x:v>
      </x:c>
      <x:c r="C61" t="n">
        <x:v>2</x:v>
      </x:c>
      <x:c r="D61" t="n">
        <x:v>1</x:v>
      </x:c>
    </x:row>
    <x:row r="62">
      <x:c r="A62" s="5" t="str">
        <x:v>Communication &amp; Expression</x:v>
      </x:c>
      <x:c r="B62" s="5" t="str">
        <x:v>When under time pressure, it can be harder to express ideas clearly.</x:v>
      </x:c>
      <x:c r="C62" t="n">
        <x:v>2</x:v>
      </x:c>
      <x:c r="D62" t="n">
        <x:v>1</x:v>
      </x:c>
    </x:row>
    <x:row r="63">
      <x:c r="A63" s="5" t="str">
        <x:v>Communication &amp; Expression</x:v>
      </x:c>
      <x:c r="B63" s="5" t="str">
        <x:v>Taking notes during discussions can be difficult when information is shared quickly.</x:v>
      </x:c>
      <x:c r="C63" t="n">
        <x:v>3</x:v>
      </x:c>
      <x:c r="D63" t="n">
        <x:v>1</x:v>
      </x:c>
    </x:row>
    <x:row r="64">
      <x:c r="A64" s="5" t="str">
        <x:v>Communication &amp; Expression</x:v>
      </x:c>
      <x:c r="B64" s="5" t="str">
        <x:v>Understanding detailed or highly technical explanations can require extra effort.</x:v>
      </x:c>
      <x:c r="C64" t="n">
        <x:v>2</x:v>
      </x:c>
      <x:c r="D64" t="n">
        <x:v>1</x:v>
      </x:c>
    </x:row>
    <x:row r="65">
      <x:c r="A65" s="5" t="str">
        <x:v>Planning, Organization, and Time Management</x:v>
      </x:c>
      <x:c r="B65" s="5" t="str">
        <x:v>Getting started on a coding task can sometimes take longer than expected.</x:v>
      </x:c>
      <x:c r="C65" t="n">
        <x:v>2</x:v>
      </x:c>
      <x:c r="D65" t="n">
        <x:v>1</x:v>
      </x:c>
    </x:row>
    <x:row r="66">
      <x:c r="A66" s="5" t="str">
        <x:v>Planning, Organization, and Time Management</x:v>
      </x:c>
      <x:c r="B66" s="5" t="str">
        <x:v>Breaking down a problem and planning the steps before starting a task can be challenging.</x:v>
      </x:c>
      <x:c r="C66" t="n">
        <x:v>2</x:v>
      </x:c>
      <x:c r="D66" t="n">
        <x:v>1</x:v>
      </x:c>
    </x:row>
    <x:row r="67">
      <x:c r="A67" s="5" t="str">
        <x:v>Planning, Organization, and Time Management</x:v>
      </x:c>
      <x:c r="B67" s="5" t="str">
        <x:v>Organizing tasks and priorities during development work can require extra effort.</x:v>
      </x:c>
      <x:c r="C67" t="n">
        <x:v>2</x:v>
      </x:c>
      <x:c r="D67" t="n">
        <x:v>1</x:v>
      </x:c>
    </x:row>
    <x:row r="68">
      <x:c r="A68" s="5" t="str">
        <x:v>Planning, Organization, and Time Management</x:v>
      </x:c>
      <x:c r="B68" s="5" t="str">
        <x:v>Extra time is often needed to think through or visualize a solution before beginning to code.</x:v>
      </x:c>
      <x:c r="C68" t="n">
        <x:v>2</x:v>
      </x:c>
      <x:c r="D68" t="n">
        <x:v>1</x:v>
      </x:c>
    </x:row>
    <x:row r="69">
      <x:c r="A69" s="5" t="str">
        <x:v>Planning, Organization, and Time Management</x:v>
      </x:c>
      <x:c r="B69" s="5" t="str">
        <x:v>Managing several tasks at the same time can be difficult.</x:v>
      </x:c>
      <x:c r="C69" t="n">
        <x:v>3</x:v>
      </x:c>
      <x:c r="D69" t="n">
        <x:v>2</x:v>
      </x:c>
    </x:row>
    <x:row r="70">
      <x:c r="A70" s="5" t="str">
        <x:v>Writing &amp; Spelling Difficulties</x:v>
      </x:c>
      <x:c r="B70" s="5" t="str">
        <x:v>It can be difficult to notice and correct spelling mistakes in what I write.</x:v>
      </x:c>
      <x:c r="C70" t="n">
        <x:v>3</x:v>
      </x:c>
      <x:c r="D70" t="n">
        <x:v>2</x:v>
      </x:c>
    </x:row>
    <x:row r="71">
      <x:c r="A71" s="5" t="str">
        <x:v>Writing &amp; Spelling Difficulties</x:v>
      </x:c>
      <x:c r="B71" s="5" t="str">
        <x:v>Spelling difficulties can affect how variables, methods, or configuration names are written.</x:v>
      </x:c>
      <x:c r="C71" t="n">
        <x:v>2</x:v>
      </x:c>
      <x:c r="D71" t="n">
        <x:v>1</x:v>
      </x:c>
    </x:row>
    <x:row r="72">
      <x:c r="A72" s="5" t="str">
        <x:v>Writing &amp; Spelling Difficulties</x:v>
      </x:c>
      <x:c r="B72" s="5" t="str">
        <x:v>Explaining ideas clearly when writing comments, documentation, or messages can be difficult.</x:v>
      </x:c>
      <x:c r="C72" t="n">
        <x:v>2</x:v>
      </x:c>
      <x:c r="D72" t="n">
        <x:v>1</x:v>
      </x:c>
    </x:row>
    <x:row r="73">
      <x:c r="A73" s="5" t="str">
        <x:v>Writing &amp; Spelling Difficulties</x:v>
      </x:c>
      <x:c r="B73" s="5" t="str">
        <x:v>Putting thoughts into clear written explanations can require extra time.</x:v>
      </x:c>
      <x:c r="C73" t="n">
        <x:v>3</x:v>
      </x:c>
      <x:c r="D73" t="n">
        <x:v>2</x:v>
      </x:c>
    </x:row>
    <x:row r="74">
      <x:c r="A74" s="5" t="str">
        <x:v>Writing &amp; Spelling Difficulties</x:v>
      </x:c>
      <x:c r="B74" s="5" t="str">
        <x:v>Organizing written notes or explanations so they are easy for others to follow can be challenging.</x:v>
      </x:c>
      <x:c r="C74" t="n">
        <x:v>3</x:v>
      </x:c>
      <x:c r="D74" t="n">
        <x:v>2</x:v>
      </x:c>
    </x:row>
    <x:row r="75">
      <x:c r="A75" s="5" t="str">
        <x:v>Writing &amp; Spelling Difficulties</x:v>
      </x:c>
      <x:c r="B75" s="5" t="str">
        <x:v>Typing mistakes can make it harder to produce clean or error-free code.</x:v>
      </x:c>
      <x:c r="C75" t="n">
        <x:v>3</x:v>
      </x:c>
      <x:c r="D75" t="n">
        <x:v>1</x:v>
      </x:c>
    </x:row>
    <x:row r="76">
      <x:c r="A76" s="5" t="str">
        <x:v>Writing &amp; Spelling Difficulties</x:v>
      </x:c>
      <x:c r="B76" s="5" t="str">
        <x:v>Writing technical documentation clearly and accurately can be challenging.</x:v>
      </x:c>
      <x:c r="C76" t="n">
        <x:v>3</x:v>
      </x:c>
      <x:c r="D76" t="n">
        <x:v>2</x:v>
      </x:c>
    </x:row>
    <x:row r="77">
      <x:c r="A77" s="5" t="str">
        <x:v>Writing &amp; Spelling Difficulties</x:v>
      </x:c>
      <x:c r="B77" s="5" t="str">
        <x:v>Formatting written content so that it is easy to read can require extra effort.</x:v>
      </x:c>
      <x:c r="C77" t="n">
        <x:v>3</x:v>
      </x:c>
      <x:c r="D77" t="n">
        <x:v>2</x:v>
      </x:c>
    </x:row>
    <x:row r="78">
      <x:c r="A78" s="5" t="str">
        <x:v>Writing &amp; Spelling Difficulties</x:v>
      </x:c>
      <x:c r="B78" s="5" t="str">
        <x:v>Writing emails, chat messages, or issue descriptions can take extra effort or feel confusing.</x:v>
      </x:c>
      <x:c r="C78" t="n">
        <x:v>3</x:v>
      </x:c>
      <x:c r="D78" t="n">
        <x:v>1</x:v>
      </x:c>
    </x:row>
    <x:row r="79">
      <x:c r="A79" s="5" t="str">
        <x:v>Writing &amp; Spelling Difficulties</x:v>
      </x:c>
      <x:c r="B79" s="5" t="str">
        <x:v>Concerns about spelling mistakes can sometimes create stress or self-doubt when writing.</x:v>
      </x:c>
      <x:c r="C79" t="n">
        <x:v>4</x:v>
      </x:c>
      <x:c r="D79" t="n">
        <x:v>3</x:v>
      </x:c>
    </x:row>
    <x:row r="80">
      <x:c r="A80" s="5" t="str">
        <x:v>Writing &amp; Spelling Difficulties</x:v>
      </x:c>
      <x:c r="B80" s="5" t="str">
        <x:v>Writing with correct spelling often takes longer than expected.</x:v>
      </x:c>
      <x:c r="C80" t="n">
        <x:v>3</x:v>
      </x:c>
      <x:c r="D80" t="n">
        <x:v>2</x:v>
      </x:c>
    </x:row>
    <x:row r="81">
      <x:c r="A81" s="5" t="str">
        <x:v>Writing &amp; Spelling Difficulties</x:v>
      </x:c>
      <x:c r="B81" s="5" t="str">
        <x:v>Misspellings in code can lead to inconsistent variable or function names.</x:v>
      </x:c>
      <x:c r="C81" t="n">
        <x:v>3</x:v>
      </x:c>
      <x:c r="D81" t="n">
        <x:v>1</x:v>
      </x:c>
    </x:row>
    <x:row r="82">
      <x:c r="A82" s="5" t="str">
        <x:v>Working Memory Limitations</x:v>
      </x:c>
      <x:c r="B82" s="5" t="str">
        <x:v>It is easy to forget information that was just read or seen while working on a task.</x:v>
      </x:c>
      <x:c r="C82" t="n">
        <x:v>1</x:v>
      </x:c>
      <x:c r="D82" t="n">
        <x:v>0</x:v>
      </x:c>
    </x:row>
    <x:row r="83">
      <x:c r="A83" s="5" t="str">
        <x:v>Working Memory Limitations</x:v>
      </x:c>
      <x:c r="B83" s="5" t="str">
        <x:v>Remembering several steps in calculations, formulas, or processes can be challenging.</x:v>
      </x:c>
      <x:c r="C83" t="n">
        <x:v>1</x:v>
      </x:c>
      <x:c r="D83" t="n">
        <x:v>0</x:v>
      </x:c>
    </x:row>
    <x:row r="84">
      <x:c r="A84" s="5" t="str">
        <x:v>Working Memory Limitations</x:v>
      </x:c>
      <x:c r="B84" s="5" t="str">
        <x:v>Following step-by-step reasoning or multi-stage logic can be difficult.</x:v>
      </x:c>
      <x:c r="C84" t="n">
        <x:v>1</x:v>
      </x:c>
      <x:c r="D84" t="n">
        <x:v>0</x:v>
      </x:c>
    </x:row>
    <x:row r="85">
      <x:c r="A85" s="5" t="str">
        <x:v>Working Memory Limitations</x:v>
      </x:c>
      <x:c r="B85" s="5" t="str">
        <x:v>Turning a mental idea or design into working code can require extra effort.</x:v>
      </x:c>
      <x:c r="C85" t="n">
        <x:v>1</x:v>
      </x:c>
      <x:c r="D85" t="n">
        <x:v>0</x:v>
      </x:c>
    </x:row>
    <x:row r="86">
      <x:c r="A86" s="5" t="str">
        <x:v>Working Memory Limitations</x:v>
      </x:c>
      <x:c r="B86" s="5" t="str">
        <x:v>After a fast verbal explanation, it can be hard to remember all the details.</x:v>
      </x:c>
      <x:c r="C86" t="n">
        <x:v>1</x:v>
      </x:c>
      <x:c r="D86" t="n">
        <x:v>0</x:v>
      </x:c>
    </x:row>
    <x:row r="87">
      <x:c r="A87" s="5" t="str">
        <x:v>Working Memory Limitations</x:v>
      </x:c>
      <x:c r="B87" s="5" t="str">
        <x:v>Keeping track of multiple pieces of logic while debugging can lead to slower progress or mistakes.</x:v>
      </x:c>
      <x:c r="C87" t="n">
        <x:v>1</x:v>
      </x:c>
      <x:c r="D87" t="n">
        <x:v>0</x:v>
      </x:c>
    </x:row>
    <x:row r="88">
      <x:c r="A88" s="5" t="str">
        <x:v>Working Memory Limitations</x:v>
      </x:c>
      <x:c r="B88" s="5" t="str">
        <x:v>Following technical specifications that contain many numbers or details can be challenging.</x:v>
      </x:c>
      <x:c r="C88" t="n">
        <x:v>0</x:v>
      </x:c>
      <x:c r="D88"/>
    </x:row>
    <x:row r="89">
      <x:c r="A89" s="5" t="str">
        <x:v>Working Memory Limitations</x:v>
      </x:c>
      <x:c r="B89" s="5" t="str">
        <x:v>When too much information needs to be remembered at once, expressing ideas clearly becomes harder.</x:v>
      </x:c>
      <x:c r="C89" t="n">
        <x:v>0</x:v>
      </x:c>
      <x:c r="D89"/>
    </x:row>
    <x:row r="90">
      <x:c r="A90" s="5" t="str">
        <x:v>Working Memory Limitations</x:v>
      </x:c>
      <x:c r="B90" s="5" t="str">
        <x:v>Tasks that require holding a lot of information in mind can slow down progress.</x:v>
      </x:c>
      <x:c r="C90" t="n">
        <x:v>1</x:v>
      </x:c>
      <x:c r="D90" t="n">
        <x:v>0</x:v>
      </x:c>
    </x:row>
    <x:row r="91">
      <x:c r="A91" s="5" t="str">
        <x:v>Working Memory Limitations</x:v>
      </x:c>
      <x:c r="B91" s="5" t="str">
        <x:v>Understanding new material often requires repetition or visual aids.</x:v>
      </x:c>
      <x:c r="C91" t="n">
        <x:v>0</x:v>
      </x:c>
      <x:c r="D91"/>
    </x:row>
    <x:row r="92">
      <x:c r="A92" s="5" t="str">
        <x:v>Working Memory Limitations</x:v>
      </x:c>
      <x:c r="B92" s="5" t="str">
        <x:v>Learning a new programming language can be harder because there is a lot to remember at once.</x:v>
      </x:c>
      <x:c r="C92" t="n">
        <x:v>1</x:v>
      </x:c>
      <x:c r="D92" t="n">
        <x:v>0</x:v>
      </x:c>
    </x:row>
    <x:row r="93">
      <x:c r="A93" s="5" t="str">
        <x:v>Working Memory Limitations</x:v>
      </x:c>
      <x:c r="B93" s="5" t="str">
        <x:v>Remembering programming syntax, commands, or concepts can require extra effort.</x:v>
      </x:c>
      <x:c r="C93" t="n">
        <x:v>2</x:v>
      </x:c>
      <x:c r="D93" t="n">
        <x:v>0</x:v>
      </x:c>
    </x:row>
    <x:row r="94">
      <x:c r="A94" s="5" t="str">
        <x:v>Working Memory Limitations</x:v>
      </x:c>
      <x:c r="B94" s="5" t="str">
        <x:v>When tasks become mentally demanding, it is easy to lose track of what I was doing.</x:v>
      </x:c>
      <x:c r="C94" t="n">
        <x:v>1</x:v>
      </x:c>
      <x:c r="D94" t="n">
        <x:v>1</x:v>
      </x:c>
    </x:row>
    <x:row r="95">
      <x:c r="A95" s="5" t="str">
        <x:v>Working Memory Limitations</x:v>
      </x:c>
      <x:c r="B95" s="5" t="str">
        <x:v>Starting a task can feel difficult when there is too much information to process at once.</x:v>
      </x:c>
      <x:c r="C95" t="n">
        <x:v>2</x:v>
      </x:c>
      <x:c r="D95" t="n">
        <x:v>1</x:v>
      </x:c>
    </x:row>
    <x:row r="96">
      <x:c r="A96" s="5" t="str">
        <x:v>Working Memory Limitations</x:v>
      </x:c>
      <x:c r="B96" s="5" t="str">
        <x:v>In long or complex methods, it is easy to lose track of the logic when the code changes.</x:v>
      </x:c>
      <x:c r="C96" t="n">
        <x:v>1</x:v>
      </x:c>
      <x:c r="D96" t="n">
        <x:v>0</x:v>
      </x:c>
    </x:row>
    <x:row r="97">
      <x:c r="A97" s="5" t="str">
        <x:v>Working Memory Limitations</x:v>
      </x:c>
      <x:c r="B97" s="5" t="str">
        <x:v>Tracking file paths, directories, or system states across multiple files can be difficult.</x:v>
      </x:c>
      <x:c r="C97" t="n">
        <x:v>1</x:v>
      </x:c>
      <x:c r="D97" t="n">
        <x:v>0</x:v>
      </x:c>
    </x:row>
    <x:row r="98">
      <x:c r="A98" s="5" t="str">
        <x:v>Working Memory Limitations</x:v>
      </x:c>
      <x:c r="B98" s="5" t="str">
        <x:v>Breaking down a large problem into smaller steps before starting a task can be difficult.</x:v>
      </x:c>
      <x:c r="C98" t="n">
        <x:v>1</x:v>
      </x:c>
      <x:c r="D98" t="n">
        <x:v>0</x:v>
      </x:c>
    </x:row>
    <x:row r="99">
      <x:c r="A99" s="5" t="str">
        <x:v>Reading &amp; Decoding Difficulties</x:v>
      </x:c>
      <x:c r="B99" s="5" t="str">
        <x:v>Small syntax errors are sometimes easy for me to miss when reading code.</x:v>
      </x:c>
      <x:c r="C99" t="n">
        <x:v>3</x:v>
      </x:c>
      <x:c r="D99" t="n">
        <x:v>1</x:v>
      </x:c>
    </x:row>
    <x:row r="100">
      <x:c r="A100" s="5" t="str">
        <x:v>Reading &amp; Decoding Difficulties</x:v>
      </x:c>
      <x:c r="B100" s="5" t="str">
        <x:v>Written instructions can be harder to understand than the code itself.</x:v>
      </x:c>
      <x:c r="C100" t="n">
        <x:v>3</x:v>
      </x:c>
      <x:c r="D100" t="n">
        <x:v>1</x:v>
      </x:c>
    </x:row>
    <x:row r="101">
      <x:c r="A101" s="5" t="str">
        <x:v>Reading &amp; Decoding Difficulties</x:v>
      </x:c>
      <x:c r="B101" s="5" t="str">
        <x:v>Working with unfamiliar or complex code can require extra effort to understand.</x:v>
      </x:c>
      <x:c r="C101" t="n">
        <x:v>1</x:v>
      </x:c>
      <x:c r="D101" t="n">
        <x:v>0</x:v>
      </x:c>
    </x:row>
    <x:row r="102">
      <x:c r="A102" s="5" t="str">
        <x:v>Reading &amp; Decoding Difficulties</x:v>
      </x:c>
      <x:c r="B102" s="5" t="str">
        <x:v>Making changes to data structures can be challenging when the code is hard to read.</x:v>
      </x:c>
      <x:c r="C102" t="n">
        <x:v>1</x:v>
      </x:c>
      <x:c r="D102" t="n">
        <x:v>0</x:v>
      </x:c>
    </x:row>
    <x:row r="103">
      <x:c r="A103" s="5" t="str">
        <x:v>Reading &amp; Decoding Difficulties</x:v>
      </x:c>
      <x:c r="B103" s="5" t="str">
        <x:v>Learning new programming languages can be harder because of the reading load involved.</x:v>
      </x:c>
      <x:c r="C103" t="n">
        <x:v>1</x:v>
      </x:c>
      <x:c r="D103" t="n">
        <x:v>0</x:v>
      </x:c>
    </x:row>
    <x:row r="104">
      <x:c r="A104" s="5" t="str">
        <x:v>Reading &amp; Decoding Difficulties</x:v>
      </x:c>
      <x:c r="B104" s="5" t="str">
        <x:v>Symbols that look similar or long lines of text can be difficult for me to distinguish.</x:v>
      </x:c>
      <x:c r="C104" t="n">
        <x:v>1</x:v>
      </x:c>
      <x:c r="D104" t="n">
        <x:v>0</x:v>
      </x:c>
    </x:row>
    <x:row r="105">
      <x:c r="A105" s="5" t="str">
        <x:v>Reading &amp; Decoding Difficulties</x:v>
      </x:c>
      <x:c r="B105" s="5" t="str">
        <x:v>Long or highly technical documentation, such as API documentation, can be difficult to follow.</x:v>
      </x:c>
      <x:c r="C105" t="n">
        <x:v>1</x:v>
      </x:c>
      <x:c r="D105" t="n">
        <x:v>0</x:v>
      </x:c>
    </x:row>
    <x:row r="106">
      <x:c r="A106" s="5" t="str">
        <x:v>Reading &amp; Decoding Difficulties</x:v>
      </x:c>
      <x:c r="B106" s="5" t="str">
        <x:v>Written information often takes longer for me to read and understand.</x:v>
      </x:c>
      <x:c r="C106" t="n">
        <x:v>2</x:v>
      </x:c>
      <x:c r="D106" t="n">
        <x:v>1</x:v>
      </x:c>
    </x:row>
    <x:row r="107">
      <x:c r="A107" s="5" t="str">
        <x:v>Reading &amp; Decoding Difficulties</x:v>
      </x:c>
      <x:c r="B107" s="5" t="str">
        <x:v>The amount of reading and writing required in software engineering can feel overwhelming.</x:v>
      </x:c>
      <x:c r="C107" t="n">
        <x:v>1</x:v>
      </x:c>
      <x:c r="D107" t="n">
        <x:v>0</x:v>
      </x:c>
    </x:row>
    <x:row r="108">
      <x:c r="A108" s="5" t="str">
        <x:v>Reading &amp; Decoding Difficulties</x:v>
      </x:c>
      <x:c r="B108" s="5" t="str">
        <x:v>Reading complex explanations sometimes leads to confusion or misunderstanding.</x:v>
      </x:c>
      <x:c r="C108" t="n">
        <x:v>1</x:v>
      </x:c>
      <x:c r="D108" t="n">
        <x:v>0</x:v>
      </x:c>
    </x:row>
    <x:row r="109">
      <x:c r="A109" s="5" t="str">
        <x:v>Reading &amp; Decoding Difficulties</x:v>
      </x:c>
      <x:c r="B109" s="5" t="str">
        <x:v>When reading unfamiliar text, it can be difficult to recognise the correct spelling of words.</x:v>
      </x:c>
      <x:c r="C109" t="n">
        <x:v>2</x:v>
      </x:c>
      <x:c r="D109" t="n">
        <x:v>1</x:v>
      </x:c>
    </x:row>
    <x:row r="110">
      <x:c r="A110" s="5" t="str">
        <x:v>Reading &amp; Decoding Difficulties</x:v>
      </x:c>
      <x:c r="B110" s="5" t="str">
        <x:v>Large amounts of structured information can be difficult to process quickly.</x:v>
      </x:c>
      <x:c r="C110" t="n">
        <x:v>1</x:v>
      </x:c>
      <x:c r="D110" t="n">
        <x:v>0</x:v>
      </x:c>
    </x:row>
    <x:row r="111">
      <x:c r="A111" s="5" t="str">
        <x:v>Reading &amp; Decoding Difficulties</x:v>
      </x:c>
      <x:c r="B111" s="5" t="str">
        <x:v>Scanning through code and quickly recognising symbols can sometimes be difficult.</x:v>
      </x:c>
      <x:c r="C111" t="n">
        <x:v>1</x:v>
      </x:c>
      <x:c r="D111" t="n">
        <x:v>0</x:v>
      </x:c>
    </x:row>
    <x:row r="112">
      <x:c r="A112" s="5" t="str">
        <x:v>Reading &amp; Decoding Difficulties</x:v>
      </x:c>
      <x:c r="B112" s="5" t="str">
        <x:v>Reading code line by line can be tiring and easy to lose track of.</x:v>
      </x:c>
      <x:c r="C112" t="n">
        <x:v>1</x:v>
      </x:c>
      <x:c r="D112" t="n">
        <x:v>0</x:v>
      </x:c>
    </x:row>
    <x:row r="113">
      <x:c r="A113" s="5" t="str">
        <x:v>Reading &amp; Decoding Difficulties</x:v>
      </x:c>
      <x:c r="B113" s="5" t="str">
        <x:v>Timed coding challenges can be difficult because the instructions must be read quickly.</x:v>
      </x:c>
      <x:c r="C113" t="n">
        <x:v>3</x:v>
      </x:c>
      <x:c r="D113" t="n">
        <x:v>0</x:v>
      </x:c>
    </x:row>
    <x:row r="114">
      <x:c r="A114" s="5" t="str">
        <x:v>Reading &amp; Decoding Difficulties</x:v>
      </x:c>
      <x:c r="B114" s="5" t="str">
        <x:v>Tasks sometimes take longer because reading and processing information slows me down.</x:v>
      </x:c>
      <x:c r="C114" t="n">
        <x:v>2</x:v>
      </x:c>
      <x:c r="D114" t="n">
        <x:v>1</x:v>
      </x:c>
    </x:row>
    <x:row r="115">
      <x:c r="A115" s="5" t="str">
        <x:v>Reading &amp; Decoding Difficulties</x:v>
      </x:c>
      <x:c r="B115" s="5" t="str">
        <x:v>Writing documentation to communicate ideas clearly can be challenging.</x:v>
      </x:c>
      <x:c r="C115" t="n">
        <x:v>2</x:v>
      </x:c>
      <x:c r="D115" t="n">
        <x:v>1</x:v>
      </x:c>
    </x:row>
    <x:row r="116">
      <x:c r="A116" s="5" t="str">
        <x:v>Reading &amp; Decoding Difficulties</x:v>
      </x:c>
      <x:c r="B116" s="5" t="str">
        <x:v>Turning diagrams or visual models into written code can take extra effort.</x:v>
      </x:c>
      <x:c r="C116" t="n">
        <x:v>1</x:v>
      </x:c>
      <x:c r="D116" t="n">
        <x:v>0</x:v>
      </x:c>
    </x:row>
    <x:row r="117">
      <x:c r="A117" s="5" t="str">
        <x:v>Reading &amp; Decoding Difficulties</x:v>
      </x:c>
      <x:c r="B117" s="5" t="str">
        <x:v>Long variable names made from multiple concatenated words can be difficult to read.</x:v>
      </x:c>
      <x:c r="C117" t="n">
        <x:v>1</x:v>
      </x:c>
      <x:c r="D117" t="n">
        <x:v>0</x:v>
      </x:c>
    </x:row>
    <x:row r="118">
      <x:c r="A118" s="5" t="str">
        <x:v>Reading &amp; Decoding Difficulties</x:v>
      </x:c>
      <x:c r="B118" s="5" t="str">
        <x:v>Keeping up with spoken explanations, especially when numbers are mentioned, can be difficult.</x:v>
      </x:c>
      <x:c r="C118" t="n">
        <x:v>1</x:v>
      </x:c>
      <x:c r="D118" t="n">
        <x:v>0</x:v>
      </x:c>
    </x:row>
    <x:row r="119">
      <x:c r="A119" s="5" t="str">
        <x:v>Reading &amp; Decoding Difficulties</x:v>
      </x:c>
      <x:c r="B119" s="5" t="str">
        <x:v>Multi-step instructions that involve numbers can be hard to follow.</x:v>
      </x:c>
      <x:c r="C119" t="n">
        <x:v>0</x:v>
      </x:c>
      <x:c r="D119"/>
    </x:row>
    <x:row r="120">
      <x:c r="A120" s="5" t="str">
        <x:v>Reading &amp; Decoding Difficulties</x:v>
      </x:c>
      <x:c r="B120" s="5" t="str">
        <x:v>Similar characters in SQL or programming languages can sometimes be misread.</x:v>
      </x:c>
      <x:c r="C120" t="n">
        <x:v>0</x:v>
      </x:c>
      <x:c r="D120"/>
    </x:row>
    <x:row r="121">
      <x:c r="A121" s="5" t="str">
        <x:v>Reading &amp; Decoding Difficulties</x:v>
      </x:c>
      <x:c r="B121" s="5" t="str">
        <x:v>Interface text is sometimes misread because of dyslexia.</x:v>
      </x:c>
      <x:c r="C121" t="n">
        <x:v>1</x:v>
      </x:c>
      <x:c r="D121" t="n">
        <x:v>0</x:v>
      </x:c>
    </x:row>
    <x:row r="122">
      <x:c r="A122" s="5" t="str">
        <x:v>Reading &amp; Decoding Difficulties</x:v>
      </x:c>
      <x:c r="B122" s="5" t="str">
        <x:v>Unclear or vague instructions can easily lead to mistakes.</x:v>
      </x:c>
      <x:c r="C122" t="n">
        <x:v>2</x:v>
      </x:c>
      <x:c r="D122" t="n">
        <x:v>1</x:v>
      </x:c>
    </x:row>
    <x:row r="123">
      <x:c r="A123" s="5" t="str">
        <x:v>Attention Difficulties</x:v>
      </x:c>
      <x:c r="B123" s="5" t="str">
        <x:v>Following long tutorials or documentation with many details can be difficult.</x:v>
      </x:c>
      <x:c r="C123" t="n">
        <x:v>1</x:v>
      </x:c>
      <x:c r="D123" t="n">
        <x:v>0</x:v>
      </x:c>
    </x:row>
    <x:row r="124">
      <x:c r="A124" s="5" t="str">
        <x:v>Attention Difficulties</x:v>
      </x:c>
      <x:c r="B124" s="5" t="str">
        <x:v>Small details in code or documentation can sometimes be easy to overlook.</x:v>
      </x:c>
      <x:c r="C124" t="n">
        <x:v>2</x:v>
      </x:c>
      <x:c r="D124" t="n">
        <x:v>1</x:v>
      </x:c>
    </x:row>
    <x:row r="125">
      <x:c r="A125" s="5" t="str">
        <x:v>Attention Difficulties</x:v>
      </x:c>
      <x:c r="B125" s="5" t="str">
        <x:v>When a task requires sustained concentration, focus can become difficult to maintain.</x:v>
      </x:c>
      <x:c r="C125" t="n">
        <x:v>2</x:v>
      </x:c>
      <x:c r="D125" t="n">
        <x:v>1</x:v>
      </x:c>
    </x:row>
    <x:row r="126">
      <x:c r="A126" s="5" t="str">
        <x:v>Attention Difficulties</x:v>
      </x:c>
      <x:c r="B126" s="5" t="str">
        <x:v>Maintaining attention during complex technical configurations or setup tasks can be challenging.</x:v>
      </x:c>
      <x:c r="C126" t="n">
        <x:v>2</x:v>
      </x:c>
      <x:c r="D126" t="n">
        <x:v>1</x:v>
      </x:c>
    </x:row>
    <x:row r="127">
      <x:c r="A127" s="5" t="str">
        <x:v>Attention Difficulties</x:v>
      </x:c>
      <x:c r="B127" s="5" t="str">
        <x:v>When too much information appears at once, it becomes harder to stay focused.</x:v>
      </x:c>
      <x:c r="C127" t="n">
        <x:v>2</x:v>
      </x:c>
      <x:c r="D127" t="n">
        <x:v>1</x:v>
      </x:c>
    </x:row>
    <x:row r="128">
      <x:c r="A128" s="5" t="str">
        <x:v>Attention Difficulties</x:v>
      </x:c>
      <x:c r="B128" s="5" t="str">
        <x:v>Loss of focus can make it easier to miss errors in code or instructions.</x:v>
      </x:c>
      <x:c r="C128" t="n">
        <x:v>2</x:v>
      </x:c>
      <x:c r="D128" t="n">
        <x:v>1</x:v>
      </x:c>
    </x:row>
    <x:row r="129">
      <x:c r="A129" s="5" t="str">
        <x:v>Attention Difficulties</x:v>
      </x:c>
      <x:c r="B129" s="5" t="str">
        <x:v>Multiple notifications, conversations, or tasks can make it difficult to maintain attention.</x:v>
      </x:c>
      <x:c r="C129" t="n">
        <x:v>2</x:v>
      </x:c>
      <x:c r="D129" t="n">
        <x:v>1</x:v>
      </x:c>
    </x:row>
    <x:row r="130">
      <x:c r="A130" s="5" t="str">
        <x:v>Analytical Thinking &amp; Problem Solving</x:v>
      </x:c>
      <x:c r="B130" s="5" t="str">
        <x:v>Building and maintaining a clear mental model of how a system works can be challenging.</x:v>
      </x:c>
      <x:c r="C130" t="n">
        <x:v>2</x:v>
      </x:c>
      <x:c r="D130" t="n">
        <x:v>1</x:v>
      </x:c>
    </x:row>
    <x:row r="131">
      <x:c r="A131" s="5" t="str">
        <x:v>Analytical Thinking &amp; Problem Solving</x:v>
      </x:c>
      <x:c r="B131" s="5" t="str">
        <x:v>Understanding what code is doing just by reading it can require extra effort.</x:v>
      </x:c>
      <x:c r="C131" t="n">
        <x:v>0</x:v>
      </x:c>
      <x:c r="D131"/>
    </x:row>
    <x:row r="132">
      <x:c r="A132" s="5" t="str">
        <x:v>Analytical Thinking &amp; Problem Solving</x:v>
      </x:c>
      <x:c r="B132" s="5" t="str">
        <x:v>Understanding how complex systems or architectures work can take extra time.</x:v>
      </x:c>
      <x:c r="C132" t="n">
        <x:v>0</x:v>
      </x:c>
      <x:c r="D132"/>
    </x:row>
    <x:row r="133">
      <x:c r="A133" s="5" t="str">
        <x:v>Analytical Thinking &amp; Problem Solving</x:v>
      </x:c>
      <x:c r="B133" s="5" t="str">
        <x:v>In long or complex methods, it can be easy to lose track of the logic.</x:v>
      </x:c>
      <x:c r="C133" t="n">
        <x:v>0</x:v>
      </x:c>
      <x:c r="D133"/>
    </x:row>
    <x:row r="134">
      <x:c r="A134" s="5" t="str">
        <x:v>Analytical Thinking &amp; Problem Solving</x:v>
      </x:c>
      <x:c r="B134" s="5" t="str">
        <x:v>Tasks that require very precise logical thinking and careful tracking of steps can be challenging.</x:v>
      </x:c>
      <x:c r="C134" t="n">
        <x:v>0</x:v>
      </x:c>
      <x:c r="D134"/>
    </x:row>
    <x:row r="135">
      <x:c r="A135" s="5" t="str">
        <x:v>Analytical Thinking &amp; Problem Solving</x:v>
      </x:c>
      <x:c r="B135" s="5" t="str">
        <x:v>Reasoning through multi-step logic or algorithms can take additional effort.</x:v>
      </x:c>
      <x:c r="C135" t="n">
        <x:v>0</x:v>
      </x:c>
      <x:c r="D135"/>
    </x:row>
    <x:row r="136">
      <x:c r="A136" s="5" t="str">
        <x:v>Analytical Thinking &amp; Problem Solving</x:v>
      </x:c>
      <x:c r="B136" s="5" t="str">
        <x:v>Understanding how different parts of a system connect when reading source code can be difficult.</x:v>
      </x:c>
      <x:c r="C136" t="n">
        <x:v>0</x:v>
      </x:c>
      <x:c r="D136"/>
    </x:row>
    <x:row r="137">
      <x:c r="A137" s="5" t="str">
        <x:v>Analytical Thinking &amp; Problem Solving</x:v>
      </x:c>
      <x:c r="B137" s="5" t="str">
        <x:v>Programming tutorials or learning materials can be hard to follow unless they are simplified.</x:v>
      </x:c>
      <x:c r="C137" t="n">
        <x:v>0</x:v>
      </x:c>
      <x:c r="D137"/>
    </x:row>
    <x:row r="138">
      <x:c r="A138" s="5" t="str">
        <x:v>Analytical Thinking &amp; Problem Solving</x:v>
      </x:c>
      <x:c r="B138" s="5" t="str">
        <x:v>Working through problems step by step can sometimes be difficult.</x:v>
      </x:c>
      <x:c r="C138"/>
      <x:c r="D138"/>
    </x:row>
    <x:row r="139">
      <x:c r="A139" s="5" t="str">
        <x:v>Writing &amp; Spelling Difficulties</x:v>
      </x:c>
      <x:c r="B139" s="5" t="str">
        <x:v>Writing technical documentation clearly and accurately can be challenging.</x:v>
      </x:c>
      <x:c r="C139" t="n">
        <x:v>4</x:v>
      </x:c>
      <x:c r="D139" t="n">
        <x:v>3</x:v>
      </x:c>
    </x:row>
    <x:row r="140">
      <x:c r="A140" s="5" t="str">
        <x:v>Writing &amp; Spelling Difficulties</x:v>
      </x:c>
      <x:c r="B140" s="5" t="str">
        <x:v>Putting thoughts into clear written explanations can require extra time.</x:v>
      </x:c>
      <x:c r="C140" t="n">
        <x:v>2</x:v>
      </x:c>
      <x:c r="D140" t="n">
        <x:v>2</x:v>
      </x:c>
    </x:row>
    <x:row r="141">
      <x:c r="A141" s="5" t="str">
        <x:v>Writing &amp; Spelling Difficulties</x:v>
      </x:c>
      <x:c r="B141" s="5" t="str">
        <x:v>It can be difficult to notice and correct spelling mistakes in what I write.</x:v>
      </x:c>
      <x:c r="C141" t="n">
        <x:v>4</x:v>
      </x:c>
      <x:c r="D141" t="n">
        <x:v>4</x:v>
      </x:c>
    </x:row>
    <x:row r="142">
      <x:c r="A142" s="5" t="str">
        <x:v>Writing &amp; Spelling Difficulties</x:v>
      </x:c>
      <x:c r="B142" s="5" t="str">
        <x:v>Writing emails, chat messages, or issue descriptions can take extra effort or feel confusing.</x:v>
      </x:c>
      <x:c r="C142" t="n">
        <x:v>2</x:v>
      </x:c>
      <x:c r="D142" t="n">
        <x:v>1</x:v>
      </x:c>
    </x:row>
    <x:row r="143">
      <x:c r="A143" s="5" t="str">
        <x:v>Writing &amp; Spelling Difficulties</x:v>
      </x:c>
      <x:c r="B143" s="5" t="str">
        <x:v>Organizing written notes or explanations so they are easy for others to follow can be challenging.</x:v>
      </x:c>
      <x:c r="C143" t="n">
        <x:v>1</x:v>
      </x:c>
      <x:c r="D143" t="n">
        <x:v>1</x:v>
      </x:c>
    </x:row>
    <x:row r="144">
      <x:c r="A144" s="5" t="str">
        <x:v>Writing &amp; Spelling Difficulties</x:v>
      </x:c>
      <x:c r="B144" s="5" t="str">
        <x:v>Concerns about spelling mistakes can sometimes create stress or self-doubt when writing.</x:v>
      </x:c>
      <x:c r="C144" t="n">
        <x:v>4</x:v>
      </x:c>
      <x:c r="D144" t="n">
        <x:v>3</x:v>
      </x:c>
    </x:row>
    <x:row r="145">
      <x:c r="A145" s="5" t="str">
        <x:v>Writing &amp; Spelling Difficulties</x:v>
      </x:c>
      <x:c r="B145" s="5" t="str">
        <x:v>Writing with correct spelling often takes longer than expected.</x:v>
      </x:c>
      <x:c r="C145" t="n">
        <x:v>2</x:v>
      </x:c>
      <x:c r="D145" t="n">
        <x:v>1</x:v>
      </x:c>
    </x:row>
    <x:row r="146">
      <x:c r="A146" s="5" t="str">
        <x:v>Writing &amp; Spelling Difficulties</x:v>
      </x:c>
      <x:c r="B146" s="5" t="str">
        <x:v>Formatting written content so that it is easy to read can require extra effort.</x:v>
      </x:c>
      <x:c r="C146" t="n">
        <x:v>2</x:v>
      </x:c>
      <x:c r="D146" t="n">
        <x:v>1</x:v>
      </x:c>
    </x:row>
    <x:row r="147">
      <x:c r="A147" s="5" t="str">
        <x:v>Writing &amp; Spelling Difficulties</x:v>
      </x:c>
      <x:c r="B147" s="5" t="str">
        <x:v>Misspellings in code can lead to inconsistent variable or function names.</x:v>
      </x:c>
      <x:c r="C147" t="n">
        <x:v>3</x:v>
      </x:c>
      <x:c r="D147" t="n">
        <x:v>2</x:v>
      </x:c>
    </x:row>
    <x:row r="148">
      <x:c r="A148" s="5" t="str">
        <x:v>Writing &amp; Spelling Difficulties</x:v>
      </x:c>
      <x:c r="B148" s="5" t="str">
        <x:v>Typing mistakes can make it harder to produce clean or error-free code.</x:v>
      </x:c>
      <x:c r="C148" t="n">
        <x:v>3</x:v>
      </x:c>
      <x:c r="D148" t="n">
        <x:v>2</x:v>
      </x:c>
    </x:row>
    <x:row r="149">
      <x:c r="A149" s="5" t="str">
        <x:v>Writing &amp; Spelling Difficulties</x:v>
      </x:c>
      <x:c r="B149" s="5" t="str">
        <x:v>Explaining ideas clearly when writing comments, documentation, or messages can be difficult.</x:v>
      </x:c>
      <x:c r="C149" t="n">
        <x:v>1</x:v>
      </x:c>
      <x:c r="D149" t="n">
        <x:v>1</x:v>
      </x:c>
    </x:row>
    <x:row r="150">
      <x:c r="A150" s="5" t="str">
        <x:v>Writing &amp; Spelling Difficulties</x:v>
      </x:c>
      <x:c r="B150" s="5" t="str">
        <x:v>Spelling difficulties can affect how variables, methods, or configuration names are written.</x:v>
      </x:c>
      <x:c r="C150" t="n">
        <x:v>2</x:v>
      </x:c>
      <x:c r="D150" t="n">
        <x:v>1</x:v>
      </x:c>
    </x:row>
    <x:row r="151">
      <x:c r="A151" s="5" t="str">
        <x:v>Working Memory Limitations</x:v>
      </x:c>
      <x:c r="B151" s="5" t="str">
        <x:v>Remembering programming syntax, commands, or concepts can require extra effort.</x:v>
      </x:c>
      <x:c r="C151" t="n">
        <x:v>3</x:v>
      </x:c>
      <x:c r="D151" t="n">
        <x:v>1</x:v>
      </x:c>
    </x:row>
    <x:row r="152">
      <x:c r="A152" s="5" t="str">
        <x:v>Working Memory Limitations</x:v>
      </x:c>
      <x:c r="B152" s="5" t="str">
        <x:v>Tasks that require holding a lot of information in mind can slow down progress.</x:v>
      </x:c>
      <x:c r="C152" t="n">
        <x:v>2</x:v>
      </x:c>
      <x:c r="D152" t="n">
        <x:v>1</x:v>
      </x:c>
    </x:row>
    <x:row r="153">
      <x:c r="A153" s="5" t="str">
        <x:v>Working Memory Limitations</x:v>
      </x:c>
      <x:c r="B153" s="5" t="str">
        <x:v>When too much information needs to be remembered at once, expressing ideas clearly becomes harder.</x:v>
      </x:c>
      <x:c r="C153" t="n">
        <x:v>1</x:v>
      </x:c>
      <x:c r="D153" t="n">
        <x:v>0</x:v>
      </x:c>
    </x:row>
    <x:row r="154">
      <x:c r="A154" s="5" t="str">
        <x:v>Working Memory Limitations</x:v>
      </x:c>
      <x:c r="B154" s="5" t="str">
        <x:v>Learning a new programming language can be harder because there is a lot to remember at once.</x:v>
      </x:c>
      <x:c r="C154" t="n">
        <x:v>1</x:v>
      </x:c>
      <x:c r="D154" t="n">
        <x:v>0</x:v>
      </x:c>
    </x:row>
    <x:row r="155">
      <x:c r="A155" s="5" t="str">
        <x:v>Working Memory Limitations</x:v>
      </x:c>
      <x:c r="B155" s="5" t="str">
        <x:v>After a fast verbal explanation, it can be hard to remember all the details.</x:v>
      </x:c>
      <x:c r="C155" t="n">
        <x:v>2</x:v>
      </x:c>
      <x:c r="D155" t="n">
        <x:v>1</x:v>
      </x:c>
    </x:row>
    <x:row r="156">
      <x:c r="A156" s="5" t="str">
        <x:v>Working Memory Limitations</x:v>
      </x:c>
      <x:c r="B156" s="5" t="str">
        <x:v>Turning a mental idea or design into working code can require extra effort.</x:v>
      </x:c>
      <x:c r="C156" t="n">
        <x:v>0</x:v>
      </x:c>
      <x:c r="D156"/>
    </x:row>
    <x:row r="157">
      <x:c r="A157" s="5" t="str">
        <x:v>Working Memory Limitations</x:v>
      </x:c>
      <x:c r="B157" s="5" t="str">
        <x:v>Keeping track of multiple pieces of logic while debugging can lead to slower progress or mistakes.</x:v>
      </x:c>
      <x:c r="C157" t="n">
        <x:v>1</x:v>
      </x:c>
      <x:c r="D157" t="n">
        <x:v>0</x:v>
      </x:c>
    </x:row>
    <x:row r="158">
      <x:c r="A158" s="5" t="str">
        <x:v>Working Memory Limitations</x:v>
      </x:c>
      <x:c r="B158" s="5" t="str">
        <x:v>Remembering several steps in calculations, formulas, or processes can be challenging.</x:v>
      </x:c>
      <x:c r="C158" t="n">
        <x:v>1</x:v>
      </x:c>
      <x:c r="D158" t="n">
        <x:v>0</x:v>
      </x:c>
    </x:row>
    <x:row r="159">
      <x:c r="A159" s="5" t="str">
        <x:v>Working Memory Limitations</x:v>
      </x:c>
      <x:c r="B159" s="5" t="str">
        <x:v>Tracking file paths, directories, or system states across multiple files can be difficult.</x:v>
      </x:c>
      <x:c r="C159" t="n">
        <x:v>1</x:v>
      </x:c>
      <x:c r="D159" t="n">
        <x:v>0</x:v>
      </x:c>
    </x:row>
    <x:row r="160">
      <x:c r="A160" s="5" t="str">
        <x:v>Working Memory Limitations</x:v>
      </x:c>
      <x:c r="B160" s="5" t="str">
        <x:v>Following technical specifications that contain many numbers or details can be challenging.</x:v>
      </x:c>
      <x:c r="C160" t="n">
        <x:v>0</x:v>
      </x:c>
      <x:c r="D160"/>
    </x:row>
    <x:row r="161">
      <x:c r="A161" s="5" t="str">
        <x:v>Working Memory Limitations</x:v>
      </x:c>
      <x:c r="B161" s="5" t="str">
        <x:v>Following step-by-step reasoning or multi-stage logic can be difficult.</x:v>
      </x:c>
      <x:c r="C161" t="n">
        <x:v>0</x:v>
      </x:c>
      <x:c r="D161"/>
    </x:row>
    <x:row r="162">
      <x:c r="A162" s="5" t="str">
        <x:v>Working Memory Limitations</x:v>
      </x:c>
      <x:c r="B162" s="5" t="str">
        <x:v>In long or complex methods, it is easy to lose track of the logic when the code changes.</x:v>
      </x:c>
      <x:c r="C162" t="n">
        <x:v>0</x:v>
      </x:c>
      <x:c r="D162"/>
    </x:row>
    <x:row r="163">
      <x:c r="A163" s="5" t="str">
        <x:v>Working Memory Limitations</x:v>
      </x:c>
      <x:c r="B163" s="5" t="str">
        <x:v>It is easy to forget information that was just read or seen while working on a task.</x:v>
      </x:c>
      <x:c r="C163" t="n">
        <x:v>0</x:v>
      </x:c>
      <x:c r="D163"/>
    </x:row>
    <x:row r="164">
      <x:c r="A164" s="5" t="str">
        <x:v>Working Memory Limitations</x:v>
      </x:c>
      <x:c r="B164" s="5" t="str">
        <x:v>Starting a task can feel difficult when there is too much information to process at once.</x:v>
      </x:c>
      <x:c r="C164" t="n">
        <x:v>1</x:v>
      </x:c>
      <x:c r="D164" t="n">
        <x:v>0</x:v>
      </x:c>
    </x:row>
    <x:row r="165">
      <x:c r="A165" s="5" t="str">
        <x:v>Working Memory Limitations</x:v>
      </x:c>
      <x:c r="B165" s="5" t="str">
        <x:v>Understanding new material often requires repetition or visual aids.</x:v>
      </x:c>
      <x:c r="C165" t="n">
        <x:v>0</x:v>
      </x:c>
      <x:c r="D165"/>
    </x:row>
    <x:row r="166">
      <x:c r="A166" s="5" t="str">
        <x:v>Working Memory Limitations</x:v>
      </x:c>
      <x:c r="B166" s="5" t="str">
        <x:v>When tasks become mentally demanding, it is easy to lose track of what I was doing.</x:v>
      </x:c>
      <x:c r="C166" t="n">
        <x:v>1</x:v>
      </x:c>
      <x:c r="D166" t="n">
        <x:v>1</x:v>
      </x:c>
    </x:row>
    <x:row r="167">
      <x:c r="A167" s="5" t="str">
        <x:v>Communication &amp; Expression</x:v>
      </x:c>
      <x:c r="B167" s="5" t="str">
        <x:v>Finding the right words to explain technical ideas can sometimes be difficult.</x:v>
      </x:c>
      <x:c r="C167" t="n">
        <x:v>2</x:v>
      </x:c>
      <x:c r="D167" t="n">
        <x:v>1</x:v>
      </x:c>
    </x:row>
    <x:row r="168">
      <x:c r="A168" s="5" t="str">
        <x:v>Communication &amp; Expression</x:v>
      </x:c>
      <x:c r="B168" s="5" t="str">
        <x:v>Taking notes during discussions can be difficult when information is shared quickly.</x:v>
      </x:c>
      <x:c r="C168" t="n">
        <x:v>1</x:v>
      </x:c>
      <x:c r="D168" t="n">
        <x:v>0</x:v>
      </x:c>
    </x:row>
    <x:row r="169">
      <x:c r="A169" s="5" t="str">
        <x:v>Communication &amp; Expression</x:v>
      </x:c>
      <x:c r="B169" s="5" t="str">
        <x:v>Written communication can sometimes be unclear due to formatting or structure issues.</x:v>
      </x:c>
      <x:c r="C169" t="n">
        <x:v>1</x:v>
      </x:c>
      <x:c r="D169" t="n">
        <x:v>0</x:v>
      </x:c>
    </x:row>
    <x:row r="170">
      <x:c r="A170" s="5" t="str">
        <x:v>Communication &amp; Expression</x:v>
      </x:c>
      <x:c r="B170" s="5" t="str">
        <x:v>Explaining ideas in a way that others easily understand can take extra effort.</x:v>
      </x:c>
      <x:c r="C170" t="n">
        <x:v>2</x:v>
      </x:c>
      <x:c r="D170" t="n">
        <x:v>2</x:v>
      </x:c>
    </x:row>
    <x:row r="171">
      <x:c r="A171" s="5" t="str">
        <x:v>Communication &amp; Expression</x:v>
      </x:c>
      <x:c r="B171" s="5" t="str">
        <x:v>Explaining visual ideas or mental models to others can be challenging.</x:v>
      </x:c>
      <x:c r="C171" t="n">
        <x:v>2</x:v>
      </x:c>
      <x:c r="D171" t="n">
        <x:v>1</x:v>
      </x:c>
    </x:row>
    <x:row r="172">
      <x:c r="A172" s="5" t="str">
        <x:v>Communication &amp; Expression</x:v>
      </x:c>
      <x:c r="B172" s="5" t="str">
        <x:v>Understanding detailed or highly technical explanations can require extra effort.</x:v>
      </x:c>
      <x:c r="C172" t="n">
        <x:v>1</x:v>
      </x:c>
      <x:c r="D172" t="n">
        <x:v>1</x:v>
      </x:c>
    </x:row>
    <x:row r="173">
      <x:c r="A173" s="5" t="str">
        <x:v>Communication &amp; Expression</x:v>
      </x:c>
      <x:c r="B173" s="5" t="str">
        <x:v>When under time pressure, it can be harder to express ideas clearly.</x:v>
      </x:c>
      <x:c r="C173" t="n">
        <x:v>3</x:v>
      </x:c>
      <x:c r="D173" t="n">
        <x:v>2</x:v>
      </x:c>
    </x:row>
    <x:row r="174">
      <x:c r="A174" s="5" t="str">
        <x:v>Analytical Thinking &amp; Problem Solving</x:v>
      </x:c>
      <x:c r="B174" s="5" t="str">
        <x:v>Tasks that require very precise logical thinking and careful tracking of steps can be challenging.</x:v>
      </x:c>
      <x:c r="C174" t="n">
        <x:v>1</x:v>
      </x:c>
      <x:c r="D174" t="n">
        <x:v>0</x:v>
      </x:c>
    </x:row>
    <x:row r="175">
      <x:c r="A175" s="5" t="str">
        <x:v>Analytical Thinking &amp; Problem Solving</x:v>
      </x:c>
      <x:c r="B175" s="5" t="str">
        <x:v>Programming tutorials or learning materials can be hard to follow unless they are simplified.</x:v>
      </x:c>
      <x:c r="C175" t="n">
        <x:v>1</x:v>
      </x:c>
      <x:c r="D175" t="n">
        <x:v>0</x:v>
      </x:c>
    </x:row>
    <x:row r="176">
      <x:c r="A176" s="5" t="str">
        <x:v>Analytical Thinking &amp; Problem Solving</x:v>
      </x:c>
      <x:c r="B176" s="5" t="str">
        <x:v>Understanding how complex systems or architectures work can take extra time.</x:v>
      </x:c>
      <x:c r="C176" t="n">
        <x:v>1</x:v>
      </x:c>
      <x:c r="D176" t="n">
        <x:v>1</x:v>
      </x:c>
    </x:row>
    <x:row r="177">
      <x:c r="A177" s="5" t="str">
        <x:v>Analytical Thinking &amp; Problem Solving</x:v>
      </x:c>
      <x:c r="B177" s="5" t="str">
        <x:v>Understanding what code is doing just by reading it can require extra effort.</x:v>
      </x:c>
      <x:c r="C177" t="n">
        <x:v>1</x:v>
      </x:c>
      <x:c r="D177" t="n">
        <x:v>0</x:v>
      </x:c>
    </x:row>
    <x:row r="178">
      <x:c r="A178" s="5" t="str">
        <x:v>Analytical Thinking &amp; Problem Solving</x:v>
      </x:c>
      <x:c r="B178" s="5" t="str">
        <x:v>Reasoning through multi-step logic or algorithms can take additional effort.</x:v>
      </x:c>
      <x:c r="C178" t="n">
        <x:v>0</x:v>
      </x:c>
      <x:c r="D178"/>
    </x:row>
    <x:row r="179">
      <x:c r="A179" s="5" t="str">
        <x:v>Analytical Thinking &amp; Problem Solving</x:v>
      </x:c>
      <x:c r="B179" s="5" t="str">
        <x:v>Building and maintaining a clear mental model of how a system works can be challenging.</x:v>
      </x:c>
      <x:c r="C179" t="n">
        <x:v>1</x:v>
      </x:c>
      <x:c r="D179" t="n">
        <x:v>0</x:v>
      </x:c>
    </x:row>
    <x:row r="180">
      <x:c r="A180" s="5" t="str">
        <x:v>Analytical Thinking &amp; Problem Solving</x:v>
      </x:c>
      <x:c r="B180" s="5" t="str">
        <x:v>In long or complex methods, it can be easy to lose track of the logic.</x:v>
      </x:c>
      <x:c r="C180" t="n">
        <x:v>0</x:v>
      </x:c>
      <x:c r="D180"/>
    </x:row>
    <x:row r="181">
      <x:c r="A181" s="5" t="str">
        <x:v>Analytical Thinking &amp; Problem Solving</x:v>
      </x:c>
      <x:c r="B181" s="5" t="str">
        <x:v>Working through problems step by step can sometimes be difficult.</x:v>
      </x:c>
      <x:c r="C181" t="n">
        <x:v>0</x:v>
      </x:c>
      <x:c r="D181"/>
    </x:row>
    <x:row r="182">
      <x:c r="A182" s="5" t="str">
        <x:v>Analytical Thinking &amp; Problem Solving</x:v>
      </x:c>
      <x:c r="B182" s="5" t="str">
        <x:v>Understanding how different parts of a system connect when reading source code can be difficult.</x:v>
      </x:c>
      <x:c r="C182" t="n">
        <x:v>0</x:v>
      </x:c>
      <x:c r="D182"/>
    </x:row>
    <x:row r="183">
      <x:c r="A183" s="5" t="str">
        <x:v>Attention Difficulties</x:v>
      </x:c>
      <x:c r="B183" s="5" t="str">
        <x:v>Small details in code or documentation can sometimes be easy to overlook.</x:v>
      </x:c>
      <x:c r="C183" t="n">
        <x:v>2</x:v>
      </x:c>
      <x:c r="D183" t="n">
        <x:v>2</x:v>
      </x:c>
    </x:row>
    <x:row r="184">
      <x:c r="A184" s="5" t="str">
        <x:v>Attention Difficulties</x:v>
      </x:c>
      <x:c r="B184" s="5" t="str">
        <x:v>When a task requires sustained concentration, focus can become difficult to maintain.</x:v>
      </x:c>
      <x:c r="C184" t="n">
        <x:v>1</x:v>
      </x:c>
      <x:c r="D184" t="n">
        <x:v>1</x:v>
      </x:c>
    </x:row>
    <x:row r="185">
      <x:c r="A185" s="5" t="str">
        <x:v>Attention Difficulties</x:v>
      </x:c>
      <x:c r="B185" s="5" t="str">
        <x:v>Multiple notifications, conversations, or tasks can make it difficult to maintain attention.</x:v>
      </x:c>
      <x:c r="C185" t="n">
        <x:v>3</x:v>
      </x:c>
      <x:c r="D185" t="n">
        <x:v>2</x:v>
      </x:c>
    </x:row>
    <x:row r="186">
      <x:c r="A186" s="5" t="str">
        <x:v>Attention Difficulties</x:v>
      </x:c>
      <x:c r="B186" s="5" t="str">
        <x:v>When too much information appears at once, it becomes harder to stay focused.</x:v>
      </x:c>
      <x:c r="C186" t="n">
        <x:v>1</x:v>
      </x:c>
      <x:c r="D186" t="n">
        <x:v>1</x:v>
      </x:c>
    </x:row>
    <x:row r="187">
      <x:c r="A187" s="5" t="str">
        <x:v>Attention Difficulties</x:v>
      </x:c>
      <x:c r="B187" s="5" t="str">
        <x:v>Following long tutorials or documentation with many details can be difficult.</x:v>
      </x:c>
      <x:c r="C187" t="n">
        <x:v>1</x:v>
      </x:c>
      <x:c r="D187" t="n">
        <x:v>0</x:v>
      </x:c>
    </x:row>
    <x:row r="188">
      <x:c r="A188" s="5" t="str">
        <x:v>Attention Difficulties</x:v>
      </x:c>
      <x:c r="B188" s="5" t="str">
        <x:v>Maintaining attention during complex technical configurations or setup tasks can be challenging.</x:v>
      </x:c>
      <x:c r="C188" t="n">
        <x:v>0</x:v>
      </x:c>
      <x:c r="D188"/>
    </x:row>
    <x:row r="189">
      <x:c r="A189" s="5" t="str">
        <x:v>Attention Difficulties</x:v>
      </x:c>
      <x:c r="B189" s="5" t="str">
        <x:v>Loss of focus can make it easier to miss errors in code or instructions.</x:v>
      </x:c>
      <x:c r="C189" t="n">
        <x:v>1</x:v>
      </x:c>
      <x:c r="D189" t="n">
        <x:v>1</x:v>
      </x:c>
    </x:row>
    <x:row r="190">
      <x:c r="A190" s="5" t="str">
        <x:v>Planning, Organization, and Time Management</x:v>
      </x:c>
      <x:c r="B190" s="5" t="str">
        <x:v>Breaking down a problem and planning the steps before starting a task can be challenging.</x:v>
      </x:c>
      <x:c r="C190" t="n">
        <x:v>0</x:v>
      </x:c>
      <x:c r="D190"/>
    </x:row>
    <x:row r="191">
      <x:c r="A191" s="5" t="str">
        <x:v>Planning, Organization, and Time Management</x:v>
      </x:c>
      <x:c r="B191" s="5" t="str">
        <x:v>Organizing tasks and priorities during development work can require extra effort.</x:v>
      </x:c>
      <x:c r="C191" t="n">
        <x:v>0</x:v>
      </x:c>
      <x:c r="D191"/>
    </x:row>
    <x:row r="192">
      <x:c r="A192" s="5" t="str">
        <x:v>Planning, Organization, and Time Management</x:v>
      </x:c>
      <x:c r="B192" s="5" t="str">
        <x:v>Getting started on a coding task can sometimes take longer than expected.</x:v>
      </x:c>
      <x:c r="C192" t="n">
        <x:v>1</x:v>
      </x:c>
      <x:c r="D192" t="n">
        <x:v>0</x:v>
      </x:c>
    </x:row>
    <x:row r="193">
      <x:c r="A193" s="5" t="str">
        <x:v>Planning, Organization, and Time Management</x:v>
      </x:c>
      <x:c r="B193" s="5" t="str">
        <x:v>Extra time is often needed to think through or visualize a solution before beginning to code.</x:v>
      </x:c>
      <x:c r="C193" t="n">
        <x:v>0</x:v>
      </x:c>
      <x:c r="D193"/>
    </x:row>
    <x:row r="194">
      <x:c r="A194" s="5" t="str">
        <x:v>Planning, Organization, and Time Management</x:v>
      </x:c>
      <x:c r="B194" s="5" t="str">
        <x:v>Managing several tasks at the same time can be difficult.</x:v>
      </x:c>
      <x:c r="C194" t="n">
        <x:v>1</x:v>
      </x:c>
      <x:c r="D194" t="n">
        <x:v>0</x:v>
      </x:c>
    </x:row>
    <x:row r="195">
      <x:c r="A195" s="5" t="str">
        <x:v>Reading &amp; Decoding Difficulties</x:v>
      </x:c>
      <x:c r="B195" s="5" t="str">
        <x:v>Scanning through code and quickly recognising symbols can sometimes be difficult.</x:v>
      </x:c>
      <x:c r="C195" t="n">
        <x:v>2</x:v>
      </x:c>
      <x:c r="D195" t="n">
        <x:v>1</x:v>
      </x:c>
    </x:row>
    <x:row r="196">
      <x:c r="A196" s="5" t="str">
        <x:v>Reading &amp; Decoding Difficulties</x:v>
      </x:c>
      <x:c r="B196" s="5" t="str">
        <x:v>Timed coding challenges can be difficult because the instructions must be read quickly.</x:v>
      </x:c>
      <x:c r="C196" t="n">
        <x:v>3</x:v>
      </x:c>
      <x:c r="D196" t="n">
        <x:v>2</x:v>
      </x:c>
    </x:row>
    <x:row r="197">
      <x:c r="A197" s="5" t="str">
        <x:v>Reading &amp; Decoding Difficulties</x:v>
      </x:c>
      <x:c r="B197" s="5" t="str">
        <x:v>Turning diagrams or visual models into written code can take extra effort.</x:v>
      </x:c>
      <x:c r="C197" t="n">
        <x:v>0</x:v>
      </x:c>
      <x:c r="D197"/>
    </x:row>
    <x:row r="198">
      <x:c r="A198" s="5" t="str">
        <x:v>Reading &amp; Decoding Difficulties</x:v>
      </x:c>
      <x:c r="B198" s="5" t="str">
        <x:v>Large amounts of structured information can be difficult to process quickly.</x:v>
      </x:c>
      <x:c r="C198" t="n">
        <x:v>2</x:v>
      </x:c>
      <x:c r="D198" t="n">
        <x:v>1</x:v>
      </x:c>
    </x:row>
    <x:row r="199">
      <x:c r="A199" s="5" t="str">
        <x:v>Reading &amp; Decoding Difficulties</x:v>
      </x:c>
      <x:c r="B199" s="5" t="str">
        <x:v>Keeping up with spoken explanations, especially when numbers are mentioned, can be difficult.</x:v>
      </x:c>
      <x:c r="C199" t="n">
        <x:v>0</x:v>
      </x:c>
      <x:c r="D199"/>
    </x:row>
    <x:row r="200">
      <x:c r="A200" s="5" t="str">
        <x:v>Reading &amp; Decoding Difficulties</x:v>
      </x:c>
      <x:c r="B200" s="5" t="str">
        <x:v>Long or highly technical documentation, such as API documentation, can be difficult to follow.</x:v>
      </x:c>
      <x:c r="C200" t="n">
        <x:v>1</x:v>
      </x:c>
      <x:c r="D200" t="n">
        <x:v>0</x:v>
      </x:c>
    </x:row>
    <x:row r="201">
      <x:c r="A201" s="5" t="str">
        <x:v>Reading &amp; Decoding Difficulties</x:v>
      </x:c>
      <x:c r="B201" s="5" t="str">
        <x:v>Small syntax errors are sometimes easy for me to miss when reading code.</x:v>
      </x:c>
      <x:c r="C201" t="n">
        <x:v>4</x:v>
      </x:c>
      <x:c r="D201" t="n">
        <x:v>2</x:v>
      </x:c>
    </x:row>
    <x:row r="202">
      <x:c r="A202" s="5" t="str">
        <x:v>Reading &amp; Decoding Difficulties</x:v>
      </x:c>
      <x:c r="B202" s="5" t="str">
        <x:v>Similar characters in SQL or programming languages can sometimes be misread.</x:v>
      </x:c>
      <x:c r="C202" t="n">
        <x:v>2</x:v>
      </x:c>
      <x:c r="D202" t="n">
        <x:v>1</x:v>
      </x:c>
    </x:row>
    <x:row r="203">
      <x:c r="A203" s="5" t="str">
        <x:v>Reading &amp; Decoding Difficulties</x:v>
      </x:c>
      <x:c r="B203" s="5" t="str">
        <x:v>Tasks sometimes take longer because reading and processing information slows me down.</x:v>
      </x:c>
      <x:c r="C203" t="n">
        <x:v>2</x:v>
      </x:c>
      <x:c r="D203" t="n">
        <x:v>1</x:v>
      </x:c>
    </x:row>
    <x:row r="204">
      <x:c r="A204" s="5" t="str">
        <x:v>Reading &amp; Decoding Difficulties</x:v>
      </x:c>
      <x:c r="B204" s="5" t="str">
        <x:v>Working with unfamiliar or complex code can require extra effort to understand.</x:v>
      </x:c>
      <x:c r="C204" t="n">
        <x:v>1</x:v>
      </x:c>
      <x:c r="D204" t="n">
        <x:v>1</x:v>
      </x:c>
    </x:row>
    <x:row r="205">
      <x:c r="A205" s="5" t="str">
        <x:v>Reading &amp; Decoding Difficulties</x:v>
      </x:c>
      <x:c r="B205" s="5" t="str">
        <x:v>The amount of reading and writing required in software engineering can feel overwhelming.</x:v>
      </x:c>
      <x:c r="C205" t="n">
        <x:v>1</x:v>
      </x:c>
      <x:c r="D205" t="n">
        <x:v>0</x:v>
      </x:c>
    </x:row>
    <x:row r="206">
      <x:c r="A206" s="5" t="str">
        <x:v>Reading &amp; Decoding Difficulties</x:v>
      </x:c>
      <x:c r="B206" s="5" t="str">
        <x:v>Writing documentation to communicate ideas clearly can be challenging.</x:v>
      </x:c>
      <x:c r="C206" t="n">
        <x:v>1</x:v>
      </x:c>
      <x:c r="D206" t="n">
        <x:v>0</x:v>
      </x:c>
    </x:row>
    <x:row r="207">
      <x:c r="A207" s="5" t="str">
        <x:v>Reading &amp; Decoding Difficulties</x:v>
      </x:c>
      <x:c r="B207" s="5" t="str">
        <x:v>Symbols that look similar or long lines of text can be difficult for me to distinguish.</x:v>
      </x:c>
      <x:c r="C207" t="n">
        <x:v>3</x:v>
      </x:c>
      <x:c r="D207" t="n">
        <x:v>1</x:v>
      </x:c>
    </x:row>
    <x:row r="208">
      <x:c r="A208" s="5" t="str">
        <x:v>Reading &amp; Decoding Difficulties</x:v>
      </x:c>
      <x:c r="B208" s="5" t="str">
        <x:v>Making changes to data structures can be challenging when the code is hard to read.</x:v>
      </x:c>
      <x:c r="C208" t="n">
        <x:v>1</x:v>
      </x:c>
      <x:c r="D208" t="n">
        <x:v>0</x:v>
      </x:c>
    </x:row>
    <x:row r="209">
      <x:c r="A209" s="5" t="str">
        <x:v>Reading &amp; Decoding Difficulties</x:v>
      </x:c>
      <x:c r="B209" s="5" t="str">
        <x:v>Interface text is sometimes misread because of dyslexia.</x:v>
      </x:c>
      <x:c r="C209" t="n">
        <x:v>2</x:v>
      </x:c>
      <x:c r="D209" t="n">
        <x:v>1</x:v>
      </x:c>
    </x:row>
    <x:row r="210">
      <x:c r="A210" s="5" t="str">
        <x:v>Reading &amp; Decoding Difficulties</x:v>
      </x:c>
      <x:c r="B210" s="5" t="str">
        <x:v>Written information often takes longer for me to read and understand.</x:v>
      </x:c>
      <x:c r="C210" t="n">
        <x:v>3</x:v>
      </x:c>
      <x:c r="D210" t="n">
        <x:v>1</x:v>
      </x:c>
    </x:row>
    <x:row r="211">
      <x:c r="A211" s="5" t="str">
        <x:v>Reading &amp; Decoding Difficulties</x:v>
      </x:c>
      <x:c r="B211" s="5" t="str">
        <x:v>Reading code line by line can be tiring and easy to lose track of.</x:v>
      </x:c>
      <x:c r="C211" t="n">
        <x:v>3</x:v>
      </x:c>
      <x:c r="D211" t="n">
        <x:v>2</x:v>
      </x:c>
    </x:row>
    <x:row r="212">
      <x:c r="A212" s="5" t="str">
        <x:v>Reading &amp; Decoding Difficulties</x:v>
      </x:c>
      <x:c r="B212" s="5" t="str">
        <x:v>When reading unfamiliar text, it can be difficult to recognise the correct spelling of words.</x:v>
      </x:c>
      <x:c r="C212" t="n">
        <x:v>2</x:v>
      </x:c>
      <x:c r="D212" t="n">
        <x:v>1</x:v>
      </x:c>
    </x:row>
    <x:row r="213">
      <x:c r="A213" s="5" t="str">
        <x:v>Reading &amp; Decoding Difficulties</x:v>
      </x:c>
      <x:c r="B213" s="5" t="str">
        <x:v>Reading complex explanations sometimes leads to confusion or misunderstanding.</x:v>
      </x:c>
      <x:c r="C213" t="n">
        <x:v>2</x:v>
      </x:c>
      <x:c r="D213" t="n">
        <x:v>1</x:v>
      </x:c>
    </x:row>
    <x:row r="214">
      <x:c r="A214" s="5" t="str">
        <x:v>Reading &amp; Decoding Difficulties</x:v>
      </x:c>
      <x:c r="B214" s="5" t="str">
        <x:v>Unclear or vague instructions can easily lead to mistakes.</x:v>
      </x:c>
      <x:c r="C214" t="n">
        <x:v>2</x:v>
      </x:c>
      <x:c r="D214" t="n">
        <x:v>1</x:v>
      </x:c>
    </x:row>
    <x:row r="215">
      <x:c r="A215" s="5" t="str">
        <x:v>Reading &amp; Decoding Difficulties</x:v>
      </x:c>
      <x:c r="B215" s="5" t="str">
        <x:v>Multi-step instructions that involve numbers can be hard to follow.</x:v>
      </x:c>
      <x:c r="C215" t="n">
        <x:v>0</x:v>
      </x:c>
      <x:c r="D215"/>
    </x:row>
    <x:row r="216">
      <x:c r="A216" s="5" t="str">
        <x:v>Reading &amp; Decoding Difficulties</x:v>
      </x:c>
      <x:c r="B216" s="5" t="str">
        <x:v>Long variable names made from multiple concatenated words can be difficult to read.</x:v>
      </x:c>
      <x:c r="C216" t="n">
        <x:v>3</x:v>
      </x:c>
      <x:c r="D216" t="n">
        <x:v>2</x:v>
      </x:c>
    </x:row>
    <x:row r="217">
      <x:c r="A217" s="5" t="str">
        <x:v>Reading &amp; Decoding Difficulties</x:v>
      </x:c>
      <x:c r="B217" s="5" t="str">
        <x:v>Written instructions can be harder to understand than the code itself.</x:v>
      </x:c>
      <x:c r="C217" t="n">
        <x:v>1</x:v>
      </x:c>
      <x:c r="D217" t="n">
        <x:v>0</x:v>
      </x:c>
    </x:row>
    <x:row r="218">
      <x:c r="A218" s="5" t="str">
        <x:v>Reading &amp; Decoding Difficulties</x:v>
      </x:c>
      <x:c r="B218" s="5" t="str">
        <x:v>Learning new programming languages can be harder because of the reading load involved.</x:v>
      </x:c>
      <x:c r="C218" t="n">
        <x:v>2</x:v>
      </x:c>
      <x:c r="D218" t="n">
        <x:v>1</x:v>
      </x:c>
    </x:row>
    <x:row r="219">
      <x:c r="A219" s="5" t="str">
        <x:v>Reading &amp; Decoding Difficulties</x:v>
      </x:c>
      <x:c r="B219" s="5" t="str">
        <x:v>Long or highly technical documentation, such as API documentation, can be difficult to follow.</x:v>
      </x:c>
      <x:c r="C219" t="n">
        <x:v>3</x:v>
      </x:c>
      <x:c r="D219" t="n">
        <x:v>2</x:v>
      </x:c>
    </x:row>
    <x:row r="220">
      <x:c r="A220" s="5" t="str">
        <x:v>Reading &amp; Decoding Difficulties</x:v>
      </x:c>
      <x:c r="B220" s="5" t="str">
        <x:v>Similar characters in SQL or programming languages can sometimes be misread.</x:v>
      </x:c>
      <x:c r="C220" t="n">
        <x:v>3</x:v>
      </x:c>
      <x:c r="D220" t="n">
        <x:v>2</x:v>
      </x:c>
    </x:row>
    <x:row r="221">
      <x:c r="A221" s="5" t="str">
        <x:v>Reading &amp; Decoding Difficulties</x:v>
      </x:c>
      <x:c r="B221" s="5" t="str">
        <x:v>Written instructions can be harder to understand than the code itself.</x:v>
      </x:c>
      <x:c r="C221" t="n">
        <x:v>1</x:v>
      </x:c>
      <x:c r="D221" t="n">
        <x:v>1</x:v>
      </x:c>
    </x:row>
    <x:row r="222">
      <x:c r="A222" s="5" t="str">
        <x:v>Reading &amp; Decoding Difficulties</x:v>
      </x:c>
      <x:c r="B222" s="5" t="str">
        <x:v>Symbols that look similar or long lines of text can be difficult for me to distinguish.</x:v>
      </x:c>
      <x:c r="C222" t="n">
        <x:v>3</x:v>
      </x:c>
      <x:c r="D222" t="n">
        <x:v>2</x:v>
      </x:c>
    </x:row>
    <x:row r="223">
      <x:c r="A223" s="5" t="str">
        <x:v>Reading &amp; Decoding Difficulties</x:v>
      </x:c>
      <x:c r="B223" s="5" t="str">
        <x:v>When reading unfamiliar text, it can be difficult to recognise the correct spelling of words.</x:v>
      </x:c>
      <x:c r="C223" t="n">
        <x:v>4</x:v>
      </x:c>
      <x:c r="D223" t="n">
        <x:v>2</x:v>
      </x:c>
    </x:row>
    <x:row r="224">
      <x:c r="A224" s="5" t="str">
        <x:v>Reading &amp; Decoding Difficulties</x:v>
      </x:c>
      <x:c r="B224" s="5" t="str">
        <x:v>Large amounts of structured information can be difficult to process quickly.</x:v>
      </x:c>
      <x:c r="C224" t="n">
        <x:v>0</x:v>
      </x:c>
      <x:c r="D224"/>
    </x:row>
    <x:row r="225">
      <x:c r="A225" s="5" t="str">
        <x:v>Reading &amp; Decoding Difficulties</x:v>
      </x:c>
      <x:c r="B225" s="5" t="str">
        <x:v>Long variable names made from multiple concatenated words can be difficult to read.</x:v>
      </x:c>
      <x:c r="C225" t="n">
        <x:v>1</x:v>
      </x:c>
      <x:c r="D225" t="n">
        <x:v>1</x:v>
      </x:c>
    </x:row>
    <x:row r="226">
      <x:c r="A226" s="5" t="str">
        <x:v>Reading &amp; Decoding Difficulties</x:v>
      </x:c>
      <x:c r="B226" s="5" t="str">
        <x:v>Learning new programming languages can be harder because of the reading load involved.</x:v>
      </x:c>
      <x:c r="C226" t="n">
        <x:v>0</x:v>
      </x:c>
      <x:c r="D226"/>
    </x:row>
    <x:row r="227">
      <x:c r="A227" s="5" t="str">
        <x:v>Reading &amp; Decoding Difficulties</x:v>
      </x:c>
      <x:c r="B227" s="5" t="str">
        <x:v>The amount of reading and writing required in software engineering can feel overwhelming.</x:v>
      </x:c>
      <x:c r="C227" t="n">
        <x:v>1</x:v>
      </x:c>
      <x:c r="D227" t="n">
        <x:v>1</x:v>
      </x:c>
    </x:row>
    <x:row r="228">
      <x:c r="A228" s="5" t="str">
        <x:v>Reading &amp; Decoding Difficulties</x:v>
      </x:c>
      <x:c r="B228" s="5" t="str">
        <x:v>Turning diagrams or visual models into written code can take extra effort.</x:v>
      </x:c>
      <x:c r="C228" t="n">
        <x:v>0</x:v>
      </x:c>
      <x:c r="D228"/>
    </x:row>
    <x:row r="229">
      <x:c r="A229" s="5" t="str">
        <x:v>Reading &amp; Decoding Difficulties</x:v>
      </x:c>
      <x:c r="B229" s="5" t="str">
        <x:v>Written information often takes longer for me to read and understand.</x:v>
      </x:c>
      <x:c r="C229" t="n">
        <x:v>2</x:v>
      </x:c>
      <x:c r="D229" t="n">
        <x:v>1</x:v>
      </x:c>
    </x:row>
    <x:row r="230">
      <x:c r="A230" s="5" t="str">
        <x:v>Reading &amp; Decoding Difficulties</x:v>
      </x:c>
      <x:c r="B230" s="5" t="str">
        <x:v>Unclear or vague instructions can easily lead to mistakes.</x:v>
      </x:c>
      <x:c r="C230" t="n">
        <x:v>0</x:v>
      </x:c>
      <x:c r="D230"/>
    </x:row>
    <x:row r="231">
      <x:c r="A231" s="5" t="str">
        <x:v>Reading &amp; Decoding Difficulties</x:v>
      </x:c>
      <x:c r="B231" s="5" t="str">
        <x:v>Reading code line by line can be tiring and easy to lose track of.</x:v>
      </x:c>
      <x:c r="C231" t="n">
        <x:v>3</x:v>
      </x:c>
      <x:c r="D231" t="n">
        <x:v>2</x:v>
      </x:c>
    </x:row>
    <x:row r="232">
      <x:c r="A232" s="5" t="str">
        <x:v>Reading &amp; Decoding Difficulties</x:v>
      </x:c>
      <x:c r="B232" s="5" t="str">
        <x:v>Interface text is sometimes misread because of dyslexia.</x:v>
      </x:c>
      <x:c r="C232" t="n">
        <x:v>2</x:v>
      </x:c>
      <x:c r="D232" t="n">
        <x:v>0</x:v>
      </x:c>
    </x:row>
    <x:row r="233">
      <x:c r="A233" s="5" t="str">
        <x:v>Reading &amp; Decoding Difficulties</x:v>
      </x:c>
      <x:c r="B233" s="5" t="str">
        <x:v>Tasks sometimes take longer because reading and processing information slows me down.</x:v>
      </x:c>
      <x:c r="C233" t="n">
        <x:v>1</x:v>
      </x:c>
      <x:c r="D233" t="n">
        <x:v>0</x:v>
      </x:c>
    </x:row>
    <x:row r="234">
      <x:c r="A234" s="5" t="str">
        <x:v>Reading &amp; Decoding Difficulties</x:v>
      </x:c>
      <x:c r="B234" s="5" t="str">
        <x:v>Small syntax errors are sometimes easy for me to miss when reading code.</x:v>
      </x:c>
      <x:c r="C234" t="n">
        <x:v>4</x:v>
      </x:c>
      <x:c r="D234" t="n">
        <x:v>3</x:v>
      </x:c>
    </x:row>
    <x:row r="235">
      <x:c r="A235" s="5" t="str">
        <x:v>Reading &amp; Decoding Difficulties</x:v>
      </x:c>
      <x:c r="B235" s="5" t="str">
        <x:v>Multi-step instructions that involve numbers can be hard to follow.</x:v>
      </x:c>
      <x:c r="C235" t="n">
        <x:v>1</x:v>
      </x:c>
      <x:c r="D235" t="n">
        <x:v>0</x:v>
      </x:c>
    </x:row>
    <x:row r="236">
      <x:c r="A236" s="5" t="str">
        <x:v>Reading &amp; Decoding Difficulties</x:v>
      </x:c>
      <x:c r="B236" s="5" t="str">
        <x:v>Writing documentation to communicate ideas clearly can be challenging.</x:v>
      </x:c>
      <x:c r="C236" t="n">
        <x:v>0</x:v>
      </x:c>
      <x:c r="D236"/>
    </x:row>
    <x:row r="237">
      <x:c r="A237" s="5" t="str">
        <x:v>Reading &amp; Decoding Difficulties</x:v>
      </x:c>
      <x:c r="B237" s="5" t="str">
        <x:v>Keeping up with spoken explanations, especially when numbers are mentioned, can be difficult.</x:v>
      </x:c>
      <x:c r="C237" t="n">
        <x:v>0</x:v>
      </x:c>
      <x:c r="D237"/>
    </x:row>
    <x:row r="238">
      <x:c r="A238" s="5" t="str">
        <x:v>Reading &amp; Decoding Difficulties</x:v>
      </x:c>
      <x:c r="B238" s="5" t="str">
        <x:v>Scanning through code and quickly recognising symbols can sometimes be difficult.</x:v>
      </x:c>
      <x:c r="C238" t="n">
        <x:v>4</x:v>
      </x:c>
      <x:c r="D238" t="n">
        <x:v>3</x:v>
      </x:c>
    </x:row>
    <x:row r="239">
      <x:c r="A239" s="5" t="str">
        <x:v>Reading &amp; Decoding Difficulties</x:v>
      </x:c>
      <x:c r="B239" s="5" t="str">
        <x:v>Working with unfamiliar or complex code can require extra effort to understand.</x:v>
      </x:c>
      <x:c r="C239" t="n">
        <x:v>3</x:v>
      </x:c>
      <x:c r="D239" t="n">
        <x:v>1</x:v>
      </x:c>
    </x:row>
    <x:row r="240">
      <x:c r="A240" s="5" t="str">
        <x:v>Reading &amp; Decoding Difficulties</x:v>
      </x:c>
      <x:c r="B240" s="5" t="str">
        <x:v>Timed coding challenges can be difficult because the instructions must be read quickly.</x:v>
      </x:c>
      <x:c r="C240" t="n">
        <x:v>0</x:v>
      </x:c>
      <x:c r="D240"/>
    </x:row>
    <x:row r="241">
      <x:c r="A241" s="5" t="str">
        <x:v>Reading &amp; Decoding Difficulties</x:v>
      </x:c>
      <x:c r="B241" s="5" t="str">
        <x:v>Making changes to data structures can be challenging when the code is hard to read.</x:v>
      </x:c>
      <x:c r="C241" t="n">
        <x:v>2</x:v>
      </x:c>
      <x:c r="D241" t="n">
        <x:v>1</x:v>
      </x:c>
    </x:row>
    <x:row r="242">
      <x:c r="A242" s="5" t="str">
        <x:v>Reading &amp; Decoding Difficulties</x:v>
      </x:c>
      <x:c r="B242" s="5" t="str">
        <x:v>Reading complex explanations sometimes leads to confusion or misunderstanding.</x:v>
      </x:c>
      <x:c r="C242" t="n">
        <x:v>0</x:v>
      </x:c>
      <x:c r="D242"/>
    </x:row>
    <x:row r="243">
      <x:c r="A243" s="5" t="str">
        <x:v>Writing &amp; Spelling Difficulties</x:v>
      </x:c>
      <x:c r="B243" s="5" t="str">
        <x:v>Putting thoughts into clear written explanations can require extra time.</x:v>
      </x:c>
      <x:c r="C243" t="n">
        <x:v>2</x:v>
      </x:c>
      <x:c r="D243" t="n">
        <x:v>0</x:v>
      </x:c>
    </x:row>
    <x:row r="244">
      <x:c r="A244" s="5" t="str">
        <x:v>Writing &amp; Spelling Difficulties</x:v>
      </x:c>
      <x:c r="B244" s="5" t="str">
        <x:v>Misspellings in code can lead to inconsistent variable or function names.</x:v>
      </x:c>
      <x:c r="C244" t="n">
        <x:v>3</x:v>
      </x:c>
      <x:c r="D244" t="n">
        <x:v>2</x:v>
      </x:c>
    </x:row>
    <x:row r="245">
      <x:c r="A245" s="5" t="str">
        <x:v>Writing &amp; Spelling Difficulties</x:v>
      </x:c>
      <x:c r="B245" s="5" t="str">
        <x:v>Concerns about spelling mistakes can sometimes create stress or self-doubt when writing.</x:v>
      </x:c>
      <x:c r="C245" t="n">
        <x:v>4</x:v>
      </x:c>
      <x:c r="D245" t="n">
        <x:v>1</x:v>
      </x:c>
    </x:row>
    <x:row r="246">
      <x:c r="A246" s="5" t="str">
        <x:v>Writing &amp; Spelling Difficulties</x:v>
      </x:c>
      <x:c r="B246" s="5" t="str">
        <x:v>Formatting written content so that it is easy to read can require extra effort.</x:v>
      </x:c>
      <x:c r="C246" t="n">
        <x:v>2</x:v>
      </x:c>
      <x:c r="D246" t="n">
        <x:v>1</x:v>
      </x:c>
    </x:row>
    <x:row r="247">
      <x:c r="A247" s="5" t="str">
        <x:v>Writing &amp; Spelling Difficulties</x:v>
      </x:c>
      <x:c r="B247" s="5" t="str">
        <x:v>Writing emails, chat messages, or issue descriptions can take extra effort or feel confusing.</x:v>
      </x:c>
      <x:c r="C247" t="n">
        <x:v>1</x:v>
      </x:c>
      <x:c r="D247" t="n">
        <x:v>0</x:v>
      </x:c>
    </x:row>
    <x:row r="248">
      <x:c r="A248" s="5" t="str">
        <x:v>Writing &amp; Spelling Difficulties</x:v>
      </x:c>
      <x:c r="B248" s="5" t="str">
        <x:v>Writing technical documentation clearly and accurately can be challenging.</x:v>
      </x:c>
      <x:c r="C248" t="n">
        <x:v>2</x:v>
      </x:c>
      <x:c r="D248" t="n">
        <x:v>1</x:v>
      </x:c>
    </x:row>
    <x:row r="249">
      <x:c r="A249" s="5" t="str">
        <x:v>Writing &amp; Spelling Difficulties</x:v>
      </x:c>
      <x:c r="B249" s="5" t="str">
        <x:v>Writing with correct spelling often takes longer than expected.</x:v>
      </x:c>
      <x:c r="C249" t="n">
        <x:v>3</x:v>
      </x:c>
      <x:c r="D249" t="n">
        <x:v>1</x:v>
      </x:c>
    </x:row>
    <x:row r="250">
      <x:c r="A250" s="5" t="str">
        <x:v>Writing &amp; Spelling Difficulties</x:v>
      </x:c>
      <x:c r="B250" s="5" t="str">
        <x:v>Spelling difficulties can affect how variables, methods, or configuration names are written.</x:v>
      </x:c>
      <x:c r="C250" t="n">
        <x:v>3</x:v>
      </x:c>
      <x:c r="D250" t="n">
        <x:v>2</x:v>
      </x:c>
    </x:row>
    <x:row r="251">
      <x:c r="A251" s="5" t="str">
        <x:v>Writing &amp; Spelling Difficulties</x:v>
      </x:c>
      <x:c r="B251" s="5" t="str">
        <x:v>Typing mistakes can make it harder to produce clean or error-free code.</x:v>
      </x:c>
      <x:c r="C251" t="n">
        <x:v>3</x:v>
      </x:c>
      <x:c r="D251" t="n">
        <x:v>2</x:v>
      </x:c>
    </x:row>
    <x:row r="252">
      <x:c r="A252" s="5" t="str">
        <x:v>Writing &amp; Spelling Difficulties</x:v>
      </x:c>
      <x:c r="B252" s="5" t="str">
        <x:v>Explaining ideas clearly when writing comments, documentation, or messages can be difficult.</x:v>
      </x:c>
      <x:c r="C252" t="n">
        <x:v>0</x:v>
      </x:c>
      <x:c r="D252"/>
    </x:row>
    <x:row r="253">
      <x:c r="A253" s="5" t="str">
        <x:v>Writing &amp; Spelling Difficulties</x:v>
      </x:c>
      <x:c r="B253" s="5" t="str">
        <x:v>It can be difficult to notice and correct spelling mistakes in what I write.</x:v>
      </x:c>
      <x:c r="C253" t="n">
        <x:v>3</x:v>
      </x:c>
      <x:c r="D253" t="n">
        <x:v>2</x:v>
      </x:c>
    </x:row>
    <x:row r="254">
      <x:c r="A254" s="5" t="str">
        <x:v>Reading &amp; Decoding Difficulties</x:v>
      </x:c>
      <x:c r="B254" s="5" t="str">
        <x:v>The amount of reading and writing required in software engineering can feel overwhelming.</x:v>
      </x:c>
      <x:c r="C254" t="n">
        <x:v>2</x:v>
      </x:c>
      <x:c r="D254" t="n">
        <x:v>1</x:v>
      </x:c>
    </x:row>
    <x:row r="255">
      <x:c r="A255" s="5" t="str">
        <x:v>Reading &amp; Decoding Difficulties</x:v>
      </x:c>
      <x:c r="B255" s="5" t="str">
        <x:v>Written information often takes longer for me to read and understand.</x:v>
      </x:c>
      <x:c r="C255" t="n">
        <x:v>1</x:v>
      </x:c>
      <x:c r="D255" t="n">
        <x:v>1</x:v>
      </x:c>
    </x:row>
    <x:row r="256">
      <x:c r="A256" s="5" t="str">
        <x:v>Reading &amp; Decoding Difficulties</x:v>
      </x:c>
      <x:c r="B256" s="5" t="str">
        <x:v>Scanning through code and quickly recognising symbols can sometimes be difficult.</x:v>
      </x:c>
      <x:c r="C256" t="n">
        <x:v>3</x:v>
      </x:c>
      <x:c r="D256" t="n">
        <x:v>2</x:v>
      </x:c>
    </x:row>
    <x:row r="257">
      <x:c r="A257" s="5" t="str">
        <x:v>Reading &amp; Decoding Difficulties</x:v>
      </x:c>
      <x:c r="B257" s="5" t="str">
        <x:v>Writing documentation to communicate ideas clearly can be challenging.</x:v>
      </x:c>
      <x:c r="C257" t="n">
        <x:v>1</x:v>
      </x:c>
      <x:c r="D257" t="n">
        <x:v>0</x:v>
      </x:c>
    </x:row>
    <x:row r="258">
      <x:c r="A258" s="5" t="str">
        <x:v>Reading &amp; Decoding Difficulties</x:v>
      </x:c>
      <x:c r="B258" s="5" t="str">
        <x:v>Reading code line by line can be tiring and easy to lose track of.</x:v>
      </x:c>
      <x:c r="C258" t="n">
        <x:v>2</x:v>
      </x:c>
      <x:c r="D258" t="n">
        <x:v>1</x:v>
      </x:c>
    </x:row>
    <x:row r="259">
      <x:c r="A259" s="5" t="str">
        <x:v>Reading &amp; Decoding Difficulties</x:v>
      </x:c>
      <x:c r="B259" s="5" t="str">
        <x:v>Similar characters in SQL or programming languages can sometimes be misread.</x:v>
      </x:c>
      <x:c r="C259" t="n">
        <x:v>3</x:v>
      </x:c>
      <x:c r="D259" t="n">
        <x:v>2</x:v>
      </x:c>
    </x:row>
    <x:row r="260">
      <x:c r="A260" s="5" t="str">
        <x:v>Reading &amp; Decoding Difficulties</x:v>
      </x:c>
      <x:c r="B260" s="5" t="str">
        <x:v>When reading unfamiliar text, it can be difficult to recognise the correct spelling of words.</x:v>
      </x:c>
      <x:c r="C260" t="n">
        <x:v>2</x:v>
      </x:c>
      <x:c r="D260" t="n">
        <x:v>1</x:v>
      </x:c>
    </x:row>
    <x:row r="261">
      <x:c r="A261" s="5" t="str">
        <x:v>Reading &amp; Decoding Difficulties</x:v>
      </x:c>
      <x:c r="B261" s="5" t="str">
        <x:v>Unclear or vague instructions can easily lead to mistakes.</x:v>
      </x:c>
      <x:c r="C261" t="n">
        <x:v>3</x:v>
      </x:c>
      <x:c r="D261" t="n">
        <x:v>2</x:v>
      </x:c>
    </x:row>
    <x:row r="262">
      <x:c r="A262" s="5" t="str">
        <x:v>Reading &amp; Decoding Difficulties</x:v>
      </x:c>
      <x:c r="B262" s="5" t="str">
        <x:v>Written instructions can be harder to understand than the code itself.</x:v>
      </x:c>
      <x:c r="C262" t="n">
        <x:v>0</x:v>
      </x:c>
      <x:c r="D262"/>
    </x:row>
    <x:row r="263">
      <x:c r="A263" s="5" t="str">
        <x:v>Reading &amp; Decoding Difficulties</x:v>
      </x:c>
      <x:c r="B263" s="5" t="str">
        <x:v>Reading complex explanations sometimes leads to confusion or misunderstanding.</x:v>
      </x:c>
      <x:c r="C263" t="n">
        <x:v>3</x:v>
      </x:c>
      <x:c r="D263" t="n">
        <x:v>1</x:v>
      </x:c>
    </x:row>
    <x:row r="264">
      <x:c r="A264" s="5" t="str">
        <x:v>Reading &amp; Decoding Difficulties</x:v>
      </x:c>
      <x:c r="B264" s="5" t="str">
        <x:v>Turning diagrams or visual models into written code can take extra effort.</x:v>
      </x:c>
      <x:c r="C264" t="n">
        <x:v>2</x:v>
      </x:c>
      <x:c r="D264" t="n">
        <x:v>1</x:v>
      </x:c>
    </x:row>
    <x:row r="265">
      <x:c r="A265" s="5" t="str">
        <x:v>Reading &amp; Decoding Difficulties</x:v>
      </x:c>
      <x:c r="B265" s="5" t="str">
        <x:v>Tasks sometimes take longer because reading and processing information slows me down.</x:v>
      </x:c>
      <x:c r="C265" t="n">
        <x:v>0</x:v>
      </x:c>
      <x:c r="D265"/>
    </x:row>
    <x:row r="266">
      <x:c r="A266" s="5" t="str">
        <x:v>Reading &amp; Decoding Difficulties</x:v>
      </x:c>
      <x:c r="B266" s="5" t="str">
        <x:v>Learning new programming languages can be harder because of the reading load involved.</x:v>
      </x:c>
      <x:c r="C266" t="n">
        <x:v>2</x:v>
      </x:c>
      <x:c r="D266" t="n">
        <x:v>2</x:v>
      </x:c>
    </x:row>
    <x:row r="267">
      <x:c r="A267" s="5" t="str">
        <x:v>Reading &amp; Decoding Difficulties</x:v>
      </x:c>
      <x:c r="B267" s="5" t="str">
        <x:v>Working with unfamiliar or complex code can require extra effort to understand.</x:v>
      </x:c>
      <x:c r="C267" t="n">
        <x:v>3</x:v>
      </x:c>
      <x:c r="D267" t="n">
        <x:v>2</x:v>
      </x:c>
    </x:row>
    <x:row r="268">
      <x:c r="A268" s="5" t="str">
        <x:v>Reading &amp; Decoding Difficulties</x:v>
      </x:c>
      <x:c r="B268" s="5" t="str">
        <x:v>Long or highly technical documentation, such as API documentation, can be difficult to follow.</x:v>
      </x:c>
      <x:c r="C268" t="n">
        <x:v>3</x:v>
      </x:c>
      <x:c r="D268" t="n">
        <x:v>1</x:v>
      </x:c>
    </x:row>
    <x:row r="269">
      <x:c r="A269" s="5" t="str">
        <x:v>Reading &amp; Decoding Difficulties</x:v>
      </x:c>
      <x:c r="B269" s="5" t="str">
        <x:v>Making changes to data structures can be challenging when the code is hard to read.</x:v>
      </x:c>
      <x:c r="C269" t="n">
        <x:v>2</x:v>
      </x:c>
      <x:c r="D269" t="n">
        <x:v>2</x:v>
      </x:c>
    </x:row>
    <x:row r="270">
      <x:c r="A270" s="5" t="str">
        <x:v>Reading &amp; Decoding Difficulties</x:v>
      </x:c>
      <x:c r="B270" s="5" t="str">
        <x:v>Multi-step instructions that involve numbers can be hard to follow.</x:v>
      </x:c>
      <x:c r="C270" t="n">
        <x:v>0</x:v>
      </x:c>
      <x:c r="D270"/>
    </x:row>
    <x:row r="271">
      <x:c r="A271" s="5" t="str">
        <x:v>Reading &amp; Decoding Difficulties</x:v>
      </x:c>
      <x:c r="B271" s="5" t="str">
        <x:v>Keeping up with spoken explanations, especially when numbers are mentioned, can be difficult.</x:v>
      </x:c>
      <x:c r="C271" t="n">
        <x:v>3</x:v>
      </x:c>
      <x:c r="D271" t="n">
        <x:v>2</x:v>
      </x:c>
    </x:row>
    <x:row r="272">
      <x:c r="A272" s="5" t="str">
        <x:v>Reading &amp; Decoding Difficulties</x:v>
      </x:c>
      <x:c r="B272" s="5" t="str">
        <x:v>Long variable names made from multiple concatenated words can be difficult to read.</x:v>
      </x:c>
      <x:c r="C272" t="n">
        <x:v>1</x:v>
      </x:c>
      <x:c r="D272" t="n">
        <x:v>0</x:v>
      </x:c>
    </x:row>
    <x:row r="273">
      <x:c r="A273" s="5" t="str">
        <x:v>Reading &amp; Decoding Difficulties</x:v>
      </x:c>
      <x:c r="B273" s="5" t="str">
        <x:v>Symbols that look similar or long lines of text can be difficult for me to distinguish.</x:v>
      </x:c>
      <x:c r="C273" t="n">
        <x:v>2</x:v>
      </x:c>
      <x:c r="D273" t="n">
        <x:v>2</x:v>
      </x:c>
    </x:row>
    <x:row r="274">
      <x:c r="A274" s="5" t="str">
        <x:v>Reading &amp; Decoding Difficulties</x:v>
      </x:c>
      <x:c r="B274" s="5" t="str">
        <x:v>Small syntax errors are sometimes easy for me to miss when reading code.</x:v>
      </x:c>
      <x:c r="C274" t="n">
        <x:v>2</x:v>
      </x:c>
      <x:c r="D274" t="n">
        <x:v>1</x:v>
      </x:c>
    </x:row>
    <x:row r="275">
      <x:c r="A275" s="5" t="str">
        <x:v>Reading &amp; Decoding Difficulties</x:v>
      </x:c>
      <x:c r="B275" s="5" t="str">
        <x:v>Large amounts of structured information can be difficult to process quickly.</x:v>
      </x:c>
      <x:c r="C275" t="n">
        <x:v>3</x:v>
      </x:c>
      <x:c r="D275" t="n">
        <x:v>1</x:v>
      </x:c>
    </x:row>
    <x:row r="276">
      <x:c r="A276" s="5" t="str">
        <x:v>Reading &amp; Decoding Difficulties</x:v>
      </x:c>
      <x:c r="B276" s="5" t="str">
        <x:v>Interface text is sometimes misread because of dyslexia.</x:v>
      </x:c>
      <x:c r="C276" t="n">
        <x:v>2</x:v>
      </x:c>
      <x:c r="D276" t="n">
        <x:v>1</x:v>
      </x:c>
    </x:row>
    <x:row r="277">
      <x:c r="A277" s="5" t="str">
        <x:v>Reading &amp; Decoding Difficulties</x:v>
      </x:c>
      <x:c r="B277" s="5" t="str">
        <x:v>Timed coding challenges can be difficult because the instructions must be read quickly.</x:v>
      </x:c>
      <x:c r="C277" t="n">
        <x:v>0</x:v>
      </x:c>
      <x:c r="D277"/>
    </x:row>
    <x:row r="278">
      <x:c r="A278" s="5" t="str">
        <x:v>Planning, Organization, and Time Management</x:v>
      </x:c>
      <x:c r="B278" s="5" t="str">
        <x:v>Managing several tasks at the same time can be difficult.</x:v>
      </x:c>
      <x:c r="C278" t="n">
        <x:v>3</x:v>
      </x:c>
      <x:c r="D278" t="n">
        <x:v>3</x:v>
      </x:c>
    </x:row>
    <x:row r="279">
      <x:c r="A279" s="5" t="str">
        <x:v>Planning, Organization, and Time Management</x:v>
      </x:c>
      <x:c r="B279" s="5" t="str">
        <x:v>Extra time is often needed to think through or visualize a solution before beginning to code.</x:v>
      </x:c>
      <x:c r="C279" t="n">
        <x:v>3</x:v>
      </x:c>
      <x:c r="D279" t="n">
        <x:v>3</x:v>
      </x:c>
    </x:row>
    <x:row r="280">
      <x:c r="A280" s="5" t="str">
        <x:v>Planning, Organization, and Time Management</x:v>
      </x:c>
      <x:c r="B280" s="5" t="str">
        <x:v>Getting started on a coding task can sometimes take longer than expected.</x:v>
      </x:c>
      <x:c r="C280" t="n">
        <x:v>3</x:v>
      </x:c>
      <x:c r="D280" t="n">
        <x:v>3</x:v>
      </x:c>
    </x:row>
    <x:row r="281">
      <x:c r="A281" s="5" t="str">
        <x:v>Planning, Organization, and Time Management</x:v>
      </x:c>
      <x:c r="B281" s="5" t="str">
        <x:v>Organizing tasks and priorities during development work can require extra effort.</x:v>
      </x:c>
      <x:c r="C281" t="n">
        <x:v>3</x:v>
      </x:c>
      <x:c r="D281" t="n">
        <x:v>2</x:v>
      </x:c>
    </x:row>
    <x:row r="282">
      <x:c r="A282" s="5" t="str">
        <x:v>Planning, Organization, and Time Management</x:v>
      </x:c>
      <x:c r="B282" s="5" t="str">
        <x:v>Breaking down a problem and planning the steps before starting a task can be challenging.</x:v>
      </x:c>
      <x:c r="C282" t="n">
        <x:v>3</x:v>
      </x:c>
      <x:c r="D282" t="n">
        <x:v>2</x:v>
      </x:c>
    </x:row>
    <x:row r="283">
      <x:c r="A283" s="5" t="str">
        <x:v>Communication &amp; Expression</x:v>
      </x:c>
      <x:c r="B283" s="5" t="str">
        <x:v>Taking notes during discussions can be difficult when information is shared quickly.</x:v>
      </x:c>
      <x:c r="C283" t="n">
        <x:v>3</x:v>
      </x:c>
      <x:c r="D283" t="n">
        <x:v>3</x:v>
      </x:c>
    </x:row>
    <x:row r="284">
      <x:c r="A284" s="5" t="str">
        <x:v>Communication &amp; Expression</x:v>
      </x:c>
      <x:c r="B284" s="5" t="str">
        <x:v>Organizing thoughts clearly while speaking in conversations can be challenging.</x:v>
      </x:c>
      <x:c r="C284" t="n">
        <x:v>2</x:v>
      </x:c>
      <x:c r="D284" t="n">
        <x:v>1</x:v>
      </x:c>
    </x:row>
    <x:row r="285">
      <x:c r="A285" s="5" t="str">
        <x:v>Communication &amp; Expression</x:v>
      </x:c>
      <x:c r="B285" s="5" t="str">
        <x:v>Understanding detailed or highly technical explanations can require extra effort.</x:v>
      </x:c>
      <x:c r="C285" t="n">
        <x:v>3</x:v>
      </x:c>
      <x:c r="D285" t="n">
        <x:v>2</x:v>
      </x:c>
    </x:row>
    <x:row r="286">
      <x:c r="A286" s="5" t="str">
        <x:v>Communication &amp; Expression</x:v>
      </x:c>
      <x:c r="B286" s="5" t="str">
        <x:v>Explaining processes or ideas step-by-step can be challenging.</x:v>
      </x:c>
      <x:c r="C286" t="n">
        <x:v>3</x:v>
      </x:c>
      <x:c r="D286" t="n">
        <x:v>2</x:v>
      </x:c>
    </x:row>
    <x:row r="287">
      <x:c r="A287" s="5" t="str">
        <x:v>Communication &amp; Expression</x:v>
      </x:c>
      <x:c r="B287" s="5" t="str">
        <x:v>Written communication can sometimes be unclear due to formatting or structure issues.</x:v>
      </x:c>
      <x:c r="C287" t="n">
        <x:v>2</x:v>
      </x:c>
      <x:c r="D287" t="n">
        <x:v>2</x:v>
      </x:c>
    </x:row>
    <x:row r="288">
      <x:c r="A288" s="5" t="str">
        <x:v>Communication &amp; Expression</x:v>
      </x:c>
      <x:c r="B288" s="5" t="str">
        <x:v>Explaining ideas in a way that others easily understand can take extra effort.</x:v>
      </x:c>
      <x:c r="C288" t="n">
        <x:v>2</x:v>
      </x:c>
      <x:c r="D288" t="n">
        <x:v>2</x:v>
      </x:c>
    </x:row>
    <x:row r="289">
      <x:c r="A289" s="5" t="str">
        <x:v>Communication &amp; Expression</x:v>
      </x:c>
      <x:c r="B289" s="5" t="str">
        <x:v>Finding the right words to explain technical ideas can sometimes be difficult.</x:v>
      </x:c>
      <x:c r="C289" t="n">
        <x:v>3</x:v>
      </x:c>
      <x:c r="D289" t="n">
        <x:v>3</x:v>
      </x:c>
    </x:row>
    <x:row r="290">
      <x:c r="A290" s="5" t="str">
        <x:v>Communication &amp; Expression</x:v>
      </x:c>
      <x:c r="B290" s="5" t="str">
        <x:v>When under time pressure, it can be harder to express ideas clearly.</x:v>
      </x:c>
      <x:c r="C290" t="n">
        <x:v>4</x:v>
      </x:c>
      <x:c r="D290" t="n">
        <x:v>3</x:v>
      </x:c>
    </x:row>
    <x:row r="291">
      <x:c r="A291" s="5" t="str">
        <x:v>Communication &amp; Expression</x:v>
      </x:c>
      <x:c r="B291" s="5" t="str">
        <x:v>Explaining visual ideas or mental models to others can be challenging.</x:v>
      </x:c>
      <x:c r="C291" t="n">
        <x:v>3</x:v>
      </x:c>
      <x:c r="D291" t="n">
        <x:v>2</x:v>
      </x:c>
    </x:row>
    <x:row r="292">
      <x:c r="A292" s="5" t="str">
        <x:v>Attention Difficulties</x:v>
      </x:c>
      <x:c r="B292" s="5" t="str">
        <x:v>Maintaining attention during complex technical configurations or setup tasks can be challenging.</x:v>
      </x:c>
      <x:c r="C292" t="n">
        <x:v>3</x:v>
      </x:c>
      <x:c r="D292" t="n">
        <x:v>2</x:v>
      </x:c>
    </x:row>
    <x:row r="293">
      <x:c r="A293" s="5" t="str">
        <x:v>Attention Difficulties</x:v>
      </x:c>
      <x:c r="B293" s="5" t="str">
        <x:v>When a task requires sustained concentration, focus can become difficult to maintain.</x:v>
      </x:c>
      <x:c r="C293" t="n">
        <x:v>3</x:v>
      </x:c>
      <x:c r="D293" t="n">
        <x:v>2</x:v>
      </x:c>
    </x:row>
    <x:row r="294">
      <x:c r="A294" s="5" t="str">
        <x:v>Attention Difficulties</x:v>
      </x:c>
      <x:c r="B294" s="5" t="str">
        <x:v>Small details in code or documentation can sometimes be easy to overlook.</x:v>
      </x:c>
      <x:c r="C294" t="n">
        <x:v>4</x:v>
      </x:c>
      <x:c r="D294" t="n">
        <x:v>2</x:v>
      </x:c>
    </x:row>
    <x:row r="295">
      <x:c r="A295" s="5" t="str">
        <x:v>Attention Difficulties</x:v>
      </x:c>
      <x:c r="B295" s="5" t="str">
        <x:v>Following long tutorials or documentation with many details can be difficult.</x:v>
      </x:c>
      <x:c r="C295" t="n">
        <x:v>2</x:v>
      </x:c>
      <x:c r="D295" t="n">
        <x:v>3</x:v>
      </x:c>
    </x:row>
    <x:row r="296">
      <x:c r="A296" s="5" t="str">
        <x:v>Attention Difficulties</x:v>
      </x:c>
      <x:c r="B296" s="5" t="str">
        <x:v>Multiple notifications, conversations, or tasks can make it difficult to maintain attention.</x:v>
      </x:c>
      <x:c r="C296" t="n">
        <x:v>4</x:v>
      </x:c>
      <x:c r="D296" t="n">
        <x:v>3</x:v>
      </x:c>
    </x:row>
    <x:row r="297">
      <x:c r="A297" s="5" t="str">
        <x:v>Attention Difficulties</x:v>
      </x:c>
      <x:c r="B297" s="5" t="str">
        <x:v>Loss of focus can make it easier to miss errors in code or instructions.</x:v>
      </x:c>
      <x:c r="C297" t="n">
        <x:v>3</x:v>
      </x:c>
      <x:c r="D297" t="n">
        <x:v>3</x:v>
      </x:c>
    </x:row>
    <x:row r="298">
      <x:c r="A298" s="5" t="str">
        <x:v>Attention Difficulties</x:v>
      </x:c>
      <x:c r="B298" s="5" t="str">
        <x:v>When too much information appears at once, it becomes harder to stay focused.</x:v>
      </x:c>
      <x:c r="C298" t="n">
        <x:v>3</x:v>
      </x:c>
      <x:c r="D298" t="n">
        <x:v>2</x:v>
      </x:c>
    </x:row>
    <x:row r="299">
      <x:c r="A299" s="5" t="str">
        <x:v>Writing &amp; Spelling Difficulties</x:v>
      </x:c>
      <x:c r="B299" s="5" t="str">
        <x:v>Writing emails, chat messages, or issue descriptions can take extra effort or feel confusing.</x:v>
      </x:c>
      <x:c r="C299" t="n">
        <x:v>4</x:v>
      </x:c>
      <x:c r="D299" t="n">
        <x:v>4</x:v>
      </x:c>
    </x:row>
    <x:row r="300">
      <x:c r="A300" s="5" t="str">
        <x:v>Writing &amp; Spelling Difficulties</x:v>
      </x:c>
      <x:c r="B300" s="5" t="str">
        <x:v>Typing mistakes can make it harder to produce clean or error-free code.</x:v>
      </x:c>
      <x:c r="C300" t="n">
        <x:v>3</x:v>
      </x:c>
      <x:c r="D300" t="n">
        <x:v>4</x:v>
      </x:c>
    </x:row>
    <x:row r="301">
      <x:c r="A301" s="5" t="str">
        <x:v>Writing &amp; Spelling Difficulties</x:v>
      </x:c>
      <x:c r="B301" s="5" t="str">
        <x:v>Writing with correct spelling often takes longer than expected.</x:v>
      </x:c>
      <x:c r="C301" t="n">
        <x:v>4</x:v>
      </x:c>
      <x:c r="D301" t="n">
        <x:v>4</x:v>
      </x:c>
    </x:row>
    <x:row r="302">
      <x:c r="A302" s="5" t="str">
        <x:v>Writing &amp; Spelling Difficulties</x:v>
      </x:c>
      <x:c r="B302" s="5" t="str">
        <x:v>Explaining ideas clearly when writing comments, documentation, or messages can be difficult.</x:v>
      </x:c>
      <x:c r="C302" t="n">
        <x:v>4</x:v>
      </x:c>
      <x:c r="D302" t="n">
        <x:v>4</x:v>
      </x:c>
    </x:row>
    <x:row r="303">
      <x:c r="A303" s="5" t="str">
        <x:v>Writing &amp; Spelling Difficulties</x:v>
      </x:c>
      <x:c r="B303" s="5" t="str">
        <x:v>It can be difficult to notice and correct spelling mistakes in what I write.</x:v>
      </x:c>
      <x:c r="C303" t="n">
        <x:v>4</x:v>
      </x:c>
      <x:c r="D303" t="n">
        <x:v>3</x:v>
      </x:c>
    </x:row>
    <x:row r="304">
      <x:c r="A304" s="5" t="str">
        <x:v>Writing &amp; Spelling Difficulties</x:v>
      </x:c>
      <x:c r="B304" s="5" t="str">
        <x:v>Writing technical documentation clearly and accurately can be challenging.</x:v>
      </x:c>
      <x:c r="C304" t="n">
        <x:v>3</x:v>
      </x:c>
      <x:c r="D304" t="n">
        <x:v>3</x:v>
      </x:c>
    </x:row>
    <x:row r="305">
      <x:c r="A305" s="5" t="str">
        <x:v>Writing &amp; Spelling Difficulties</x:v>
      </x:c>
      <x:c r="B305" s="5" t="str">
        <x:v>Putting thoughts into clear written explanations can require extra time.</x:v>
      </x:c>
      <x:c r="C305" t="n">
        <x:v>3</x:v>
      </x:c>
      <x:c r="D305" t="n">
        <x:v>2</x:v>
      </x:c>
    </x:row>
    <x:row r="306">
      <x:c r="A306" s="5" t="str">
        <x:v>Writing &amp; Spelling Difficulties</x:v>
      </x:c>
      <x:c r="B306" s="5" t="str">
        <x:v>Formatting written content so that it is easy to read can require extra effort.</x:v>
      </x:c>
      <x:c r="C306" t="n">
        <x:v>4</x:v>
      </x:c>
      <x:c r="D306" t="n">
        <x:v>4</x:v>
      </x:c>
    </x:row>
    <x:row r="307">
      <x:c r="A307" s="5" t="str">
        <x:v>Writing &amp; Spelling Difficulties</x:v>
      </x:c>
      <x:c r="B307" s="5" t="str">
        <x:v>Concerns about spelling mistakes can sometimes create stress or self-doubt when writing.</x:v>
      </x:c>
      <x:c r="C307" t="n">
        <x:v>4</x:v>
      </x:c>
      <x:c r="D307" t="n">
        <x:v>4</x:v>
      </x:c>
    </x:row>
    <x:row r="308">
      <x:c r="A308" s="5" t="str">
        <x:v>Writing &amp; Spelling Difficulties</x:v>
      </x:c>
      <x:c r="B308" s="5" t="str">
        <x:v>Spelling difficulties can affect how variables, methods, or configuration names are written.</x:v>
      </x:c>
      <x:c r="C308" t="n">
        <x:v>4</x:v>
      </x:c>
      <x:c r="D308" t="n">
        <x:v>4</x:v>
      </x:c>
    </x:row>
    <x:row r="309">
      <x:c r="A309" s="5" t="str">
        <x:v>Writing &amp; Spelling Difficulties</x:v>
      </x:c>
      <x:c r="B309" s="5" t="str">
        <x:v>Organizing written notes or explanations so they are easy for others to follow can be challenging.</x:v>
      </x:c>
      <x:c r="C309" t="n">
        <x:v>4</x:v>
      </x:c>
      <x:c r="D309" t="n">
        <x:v>3</x:v>
      </x:c>
    </x:row>
    <x:row r="310">
      <x:c r="A310" s="5" t="str">
        <x:v>Writing &amp; Spelling Difficulties</x:v>
      </x:c>
      <x:c r="B310" s="5" t="str">
        <x:v>Misspellings in code can lead to inconsistent variable or function names.</x:v>
      </x:c>
      <x:c r="C310" t="n">
        <x:v>4</x:v>
      </x:c>
      <x:c r="D310" t="n">
        <x:v>2</x:v>
      </x:c>
    </x:row>
    <x:row r="311">
      <x:c r="A311" s="5" t="str">
        <x:v>Working Memory Limitations</x:v>
      </x:c>
      <x:c r="B311" s="5" t="str">
        <x:v>Following step-by-step reasoning or multi-stage logic can be difficult.</x:v>
      </x:c>
      <x:c r="C311" t="n">
        <x:v>3</x:v>
      </x:c>
      <x:c r="D311" t="n">
        <x:v>3</x:v>
      </x:c>
    </x:row>
    <x:row r="312">
      <x:c r="A312" s="5" t="str">
        <x:v>Working Memory Limitations</x:v>
      </x:c>
      <x:c r="B312" s="5" t="str">
        <x:v>Turning a mental idea or design into working code can require extra effort.</x:v>
      </x:c>
      <x:c r="C312" t="n">
        <x:v>3</x:v>
      </x:c>
      <x:c r="D312" t="n">
        <x:v>2</x:v>
      </x:c>
    </x:row>
    <x:row r="313">
      <x:c r="A313" s="5" t="str">
        <x:v>Working Memory Limitations</x:v>
      </x:c>
      <x:c r="B313" s="5" t="str">
        <x:v>Breaking down a large problem into smaller steps before starting a task can be difficult.</x:v>
      </x:c>
      <x:c r="C313" t="n">
        <x:v>3</x:v>
      </x:c>
      <x:c r="D313" t="n">
        <x:v>2</x:v>
      </x:c>
    </x:row>
    <x:row r="314">
      <x:c r="A314" s="5" t="str">
        <x:v>Working Memory Limitations</x:v>
      </x:c>
      <x:c r="B314" s="5" t="str">
        <x:v>Tracking file paths, directories, or system states across multiple files can be difficult.</x:v>
      </x:c>
      <x:c r="C314" t="n">
        <x:v>2</x:v>
      </x:c>
      <x:c r="D314" t="n">
        <x:v>2</x:v>
      </x:c>
    </x:row>
    <x:row r="315">
      <x:c r="A315" s="5" t="str">
        <x:v>Working Memory Limitations</x:v>
      </x:c>
      <x:c r="B315" s="5" t="str">
        <x:v>Learning a new programming language can be harder because there is a lot to remember at once.</x:v>
      </x:c>
      <x:c r="C315" t="n">
        <x:v>3</x:v>
      </x:c>
      <x:c r="D315" t="n">
        <x:v>4</x:v>
      </x:c>
    </x:row>
    <x:row r="316">
      <x:c r="A316" s="5" t="str">
        <x:v>Working Memory Limitations</x:v>
      </x:c>
      <x:c r="B316" s="5" t="str">
        <x:v>After a fast verbal explanation, it can be hard to remember all the details.</x:v>
      </x:c>
      <x:c r="C316" t="n">
        <x:v>3</x:v>
      </x:c>
      <x:c r="D316" t="n">
        <x:v>2</x:v>
      </x:c>
    </x:row>
    <x:row r="317">
      <x:c r="A317" s="5" t="str">
        <x:v>Working Memory Limitations</x:v>
      </x:c>
      <x:c r="B317" s="5" t="str">
        <x:v>Remembering several steps in calculations, formulas, or processes can be challenging.</x:v>
      </x:c>
      <x:c r="C317" t="n">
        <x:v>3</x:v>
      </x:c>
      <x:c r="D317" t="n">
        <x:v>4</x:v>
      </x:c>
    </x:row>
    <x:row r="318">
      <x:c r="A318" s="5" t="str">
        <x:v>Working Memory Limitations</x:v>
      </x:c>
      <x:c r="B318" s="5" t="str">
        <x:v>It is easy to forget information that was just read or seen while working on a task.</x:v>
      </x:c>
      <x:c r="C318" t="n">
        <x:v>3</x:v>
      </x:c>
      <x:c r="D318" t="n">
        <x:v>2</x:v>
      </x:c>
    </x:row>
    <x:row r="319">
      <x:c r="A319" s="5" t="str">
        <x:v>Working Memory Limitations</x:v>
      </x:c>
      <x:c r="B319" s="5" t="str">
        <x:v>Keeping track of multiple pieces of logic while debugging can lead to slower progress or mistakes.</x:v>
      </x:c>
      <x:c r="C319"/>
      <x:c r="D319"/>
    </x:row>
    <x:row r="320">
      <x:c r="A320" s="5" t="str">
        <x:v>Working Memory Limitations</x:v>
      </x:c>
      <x:c r="B320" s="5" t="str">
        <x:v>Understanding new material often requires repetition or visual aids.</x:v>
      </x:c>
      <x:c r="C320" t="n">
        <x:v>3</x:v>
      </x:c>
      <x:c r="D320" t="n">
        <x:v>3</x:v>
      </x:c>
    </x:row>
    <x:row r="321">
      <x:c r="A321" s="5" t="str">
        <x:v>Working Memory Limitations</x:v>
      </x:c>
      <x:c r="B321" s="5" t="str">
        <x:v>When tasks become mentally demanding, it is easy to lose track of what I was doing.</x:v>
      </x:c>
      <x:c r="C321" t="n">
        <x:v>4</x:v>
      </x:c>
      <x:c r="D321" t="n">
        <x:v>3</x:v>
      </x:c>
    </x:row>
    <x:row r="322">
      <x:c r="A322" s="5" t="str">
        <x:v>Working Memory Limitations</x:v>
      </x:c>
      <x:c r="B322" s="5" t="str">
        <x:v>When too much information needs to be remembered at once, expressing ideas clearly becomes harder.</x:v>
      </x:c>
      <x:c r="C322" t="n">
        <x:v>3</x:v>
      </x:c>
      <x:c r="D322" t="n">
        <x:v>3</x:v>
      </x:c>
    </x:row>
    <x:row r="323">
      <x:c r="A323" s="5" t="str">
        <x:v>Working Memory Limitations</x:v>
      </x:c>
      <x:c r="B323" s="5" t="str">
        <x:v>Starting a task can feel difficult when there is too much information to process at once.</x:v>
      </x:c>
      <x:c r="C323" t="n">
        <x:v>3</x:v>
      </x:c>
      <x:c r="D323" t="n">
        <x:v>4</x:v>
      </x:c>
    </x:row>
    <x:row r="324">
      <x:c r="A324" s="5" t="str">
        <x:v>Working Memory Limitations</x:v>
      </x:c>
      <x:c r="B324" s="5" t="str">
        <x:v>Tasks that require holding a lot of information in mind can slow down progress.</x:v>
      </x:c>
      <x:c r="C324" t="n">
        <x:v>3</x:v>
      </x:c>
      <x:c r="D324" t="n">
        <x:v>2</x:v>
      </x:c>
    </x:row>
    <x:row r="325">
      <x:c r="A325" s="5" t="str">
        <x:v>Working Memory Limitations</x:v>
      </x:c>
      <x:c r="B325" s="5" t="str">
        <x:v>Following technical specifications that contain many numbers or details can be challenging.</x:v>
      </x:c>
      <x:c r="C325" t="n">
        <x:v>3</x:v>
      </x:c>
      <x:c r="D325" t="n">
        <x:v>4</x:v>
      </x:c>
    </x:row>
    <x:row r="326">
      <x:c r="A326" s="5" t="str">
        <x:v>Working Memory Limitations</x:v>
      </x:c>
      <x:c r="B326" s="5" t="str">
        <x:v>Remembering programming syntax, commands, or concepts can require extra effort.</x:v>
      </x:c>
      <x:c r="C326" t="n">
        <x:v>4</x:v>
      </x:c>
      <x:c r="D326" t="n">
        <x:v>4</x:v>
      </x:c>
    </x:row>
    <x:row r="327">
      <x:c r="A327" s="5" t="str">
        <x:v>Working Memory Limitations</x:v>
      </x:c>
      <x:c r="B327" s="5" t="str">
        <x:v>In long or complex methods, it is easy to lose track of the logic when the code changes.</x:v>
      </x:c>
      <x:c r="C327" t="n">
        <x:v>3</x:v>
      </x:c>
      <x:c r="D327" t="n">
        <x:v>3</x:v>
      </x:c>
    </x:row>
    <x:row r="328">
      <x:c r="A328" s="5" t="str">
        <x:v>Analytical Thinking &amp; Problem Solving</x:v>
      </x:c>
      <x:c r="B328" s="5" t="str">
        <x:v>Reasoning through multi-step logic or algorithms can take additional effort.</x:v>
      </x:c>
      <x:c r="C328" t="n">
        <x:v>3</x:v>
      </x:c>
      <x:c r="D328" t="n">
        <x:v>2</x:v>
      </x:c>
    </x:row>
    <x:row r="329">
      <x:c r="A329" s="5" t="str">
        <x:v>Analytical Thinking &amp; Problem Solving</x:v>
      </x:c>
      <x:c r="B329" s="5" t="str">
        <x:v>Understanding how different parts of a system connect when reading source code can be difficult.</x:v>
      </x:c>
      <x:c r="C329" t="n">
        <x:v>4</x:v>
      </x:c>
      <x:c r="D329" t="n">
        <x:v>2</x:v>
      </x:c>
    </x:row>
    <x:row r="330">
      <x:c r="A330" s="5" t="str">
        <x:v>Analytical Thinking &amp; Problem Solving</x:v>
      </x:c>
      <x:c r="B330" s="5" t="str">
        <x:v>In long or complex methods, it can be easy to lose track of the logic.</x:v>
      </x:c>
      <x:c r="C330" t="n">
        <x:v>3</x:v>
      </x:c>
      <x:c r="D330" t="n">
        <x:v>2</x:v>
      </x:c>
    </x:row>
    <x:row r="331">
      <x:c r="A331" s="5" t="str">
        <x:v>Analytical Thinking &amp; Problem Solving</x:v>
      </x:c>
      <x:c r="B331" s="5" t="str">
        <x:v>Understanding how complex systems or architectures work can take extra time.</x:v>
      </x:c>
      <x:c r="C331" t="n">
        <x:v>4</x:v>
      </x:c>
      <x:c r="D331" t="n">
        <x:v>3</x:v>
      </x:c>
    </x:row>
    <x:row r="332">
      <x:c r="A332" s="5" t="str">
        <x:v>Analytical Thinking &amp; Problem Solving</x:v>
      </x:c>
      <x:c r="B332" s="5" t="str">
        <x:v>Tasks that require very precise logical thinking and careful tracking of steps can be challenging.</x:v>
      </x:c>
      <x:c r="C332" t="n">
        <x:v>4</x:v>
      </x:c>
      <x:c r="D332" t="n">
        <x:v>4</x:v>
      </x:c>
    </x:row>
    <x:row r="333">
      <x:c r="A333" s="5" t="str">
        <x:v>Analytical Thinking &amp; Problem Solving</x:v>
      </x:c>
      <x:c r="B333" s="5" t="str">
        <x:v>Programming tutorials or learning materials can be hard to follow unless they are simplified.</x:v>
      </x:c>
      <x:c r="C333" t="n">
        <x:v>3</x:v>
      </x:c>
      <x:c r="D333"/>
    </x:row>
    <x:row r="334">
      <x:c r="A334" s="5" t="str">
        <x:v>Analytical Thinking &amp; Problem Solving</x:v>
      </x:c>
      <x:c r="B334" s="5" t="str">
        <x:v>Working through problems step by step can sometimes be difficult.</x:v>
      </x:c>
      <x:c r="C334" t="n">
        <x:v>2</x:v>
      </x:c>
      <x:c r="D334" t="n">
        <x:v>1</x:v>
      </x:c>
    </x:row>
    <x:row r="335">
      <x:c r="A335" s="5" t="str">
        <x:v>Analytical Thinking &amp; Problem Solving</x:v>
      </x:c>
      <x:c r="B335" s="5" t="str">
        <x:v>Understanding what code is doing just by reading it can require extra effort.</x:v>
      </x:c>
      <x:c r="C335" t="n">
        <x:v>3</x:v>
      </x:c>
      <x:c r="D335" t="n">
        <x:v>2</x:v>
      </x:c>
    </x:row>
    <x:row r="336">
      <x:c r="A336" s="5" t="str">
        <x:v>Analytical Thinking &amp; Problem Solving</x:v>
      </x:c>
      <x:c r="B336" s="5" t="str">
        <x:v>Building and maintaining a clear mental model of how a system works can be challenging.</x:v>
      </x:c>
      <x:c r="C336" t="n">
        <x:v>3</x:v>
      </x:c>
      <x:c r="D336" t="n">
        <x:v>3</x:v>
      </x:c>
    </x:row>
    <x:row r="337">
      <x:c r="A337" s="5" t="str">
        <x:v>Reading &amp; Decoding Difficulties</x:v>
      </x:c>
      <x:c r="B337" s="5" t="str">
        <x:v>Reading code line by line can be tiring and easy to lose track of.</x:v>
      </x:c>
      <x:c r="C337" t="n">
        <x:v>4</x:v>
      </x:c>
      <x:c r="D337" t="n">
        <x:v>4</x:v>
      </x:c>
    </x:row>
    <x:row r="338">
      <x:c r="A338" s="5" t="str">
        <x:v>Reading &amp; Decoding Difficulties</x:v>
      </x:c>
      <x:c r="B338" s="5" t="str">
        <x:v>Timed coding challenges can be difficult because the instructions must be read quickly.</x:v>
      </x:c>
      <x:c r="C338" t="n">
        <x:v>4</x:v>
      </x:c>
      <x:c r="D338" t="n">
        <x:v>4</x:v>
      </x:c>
    </x:row>
    <x:row r="339">
      <x:c r="A339" s="5" t="str">
        <x:v>Reading &amp; Decoding Difficulties</x:v>
      </x:c>
      <x:c r="B339" s="5" t="str">
        <x:v>Written information often takes longer for me to read and understand.</x:v>
      </x:c>
      <x:c r="C339" t="n">
        <x:v>4</x:v>
      </x:c>
      <x:c r="D339" t="n">
        <x:v>4</x:v>
      </x:c>
    </x:row>
    <x:row r="340">
      <x:c r="A340" s="5" t="str">
        <x:v>Reading &amp; Decoding Difficulties</x:v>
      </x:c>
      <x:c r="B340" s="5" t="str">
        <x:v>When reading unfamiliar text, it can be difficult to recognise the correct spelling of words.</x:v>
      </x:c>
      <x:c r="C340" t="n">
        <x:v>4</x:v>
      </x:c>
      <x:c r="D340" t="n">
        <x:v>4</x:v>
      </x:c>
    </x:row>
    <x:row r="341">
      <x:c r="A341" s="5" t="str">
        <x:v>Reading &amp; Decoding Difficulties</x:v>
      </x:c>
      <x:c r="B341" s="5" t="str">
        <x:v>Learning new programming languages can be harder because of the reading load involved.</x:v>
      </x:c>
      <x:c r="C341" t="n">
        <x:v>4</x:v>
      </x:c>
      <x:c r="D341" t="n">
        <x:v>4</x:v>
      </x:c>
    </x:row>
    <x:row r="342">
      <x:c r="A342" s="5" t="str">
        <x:v>Reading &amp; Decoding Difficulties</x:v>
      </x:c>
      <x:c r="B342" s="5" t="str">
        <x:v>Multi-step instructions that involve numbers can be hard to follow.</x:v>
      </x:c>
      <x:c r="C342" t="n">
        <x:v>4</x:v>
      </x:c>
      <x:c r="D342" t="n">
        <x:v>3</x:v>
      </x:c>
    </x:row>
    <x:row r="343">
      <x:c r="A343" s="5" t="str">
        <x:v>Reading &amp; Decoding Difficulties</x:v>
      </x:c>
      <x:c r="B343" s="5" t="str">
        <x:v>Scanning through code and quickly recognising symbols can sometimes be difficult.</x:v>
      </x:c>
      <x:c r="C343" t="n">
        <x:v>4</x:v>
      </x:c>
      <x:c r="D343" t="n">
        <x:v>3</x:v>
      </x:c>
    </x:row>
    <x:row r="344">
      <x:c r="A344" s="5" t="str">
        <x:v>Reading &amp; Decoding Difficulties</x:v>
      </x:c>
      <x:c r="B344" s="5" t="str">
        <x:v>Long variable names made from multiple concatenated words can be difficult to read.</x:v>
      </x:c>
      <x:c r="C344" t="n">
        <x:v>3</x:v>
      </x:c>
      <x:c r="D344" t="n">
        <x:v>1</x:v>
      </x:c>
    </x:row>
    <x:row r="345">
      <x:c r="A345" s="5" t="str">
        <x:v>Reading &amp; Decoding Difficulties</x:v>
      </x:c>
      <x:c r="B345" s="5" t="str">
        <x:v>Writing documentation to communicate ideas clearly can be challenging.</x:v>
      </x:c>
      <x:c r="C345" t="n">
        <x:v>3</x:v>
      </x:c>
      <x:c r="D345" t="n">
        <x:v>2</x:v>
      </x:c>
    </x:row>
    <x:row r="346">
      <x:c r="A346" s="5" t="str">
        <x:v>Reading &amp; Decoding Difficulties</x:v>
      </x:c>
      <x:c r="B346" s="5" t="str">
        <x:v>Making changes to data structures can be challenging when the code is hard to read.</x:v>
      </x:c>
      <x:c r="C346" t="n">
        <x:v>1</x:v>
      </x:c>
      <x:c r="D346" t="n">
        <x:v>1</x:v>
      </x:c>
    </x:row>
    <x:row r="347">
      <x:c r="A347" s="5" t="str">
        <x:v>Reading &amp; Decoding Difficulties</x:v>
      </x:c>
      <x:c r="B347" s="5" t="str">
        <x:v>Similar characters in SQL or programming languages can sometimes be misread.</x:v>
      </x:c>
      <x:c r="C347" t="n">
        <x:v>1</x:v>
      </x:c>
      <x:c r="D347" t="n">
        <x:v>1</x:v>
      </x:c>
    </x:row>
    <x:row r="348">
      <x:c r="A348" s="5" t="str">
        <x:v>Reading &amp; Decoding Difficulties</x:v>
      </x:c>
      <x:c r="B348" s="5" t="str">
        <x:v>Reading complex explanations sometimes leads to confusion or misunderstanding.</x:v>
      </x:c>
      <x:c r="C348" t="n">
        <x:v>3</x:v>
      </x:c>
      <x:c r="D348" t="n">
        <x:v>3</x:v>
      </x:c>
    </x:row>
    <x:row r="349">
      <x:c r="A349" s="5" t="str">
        <x:v>Reading &amp; Decoding Difficulties</x:v>
      </x:c>
      <x:c r="B349" s="5" t="str">
        <x:v>Tasks sometimes take longer because reading and processing information slows me down.</x:v>
      </x:c>
      <x:c r="C349" t="n">
        <x:v>4</x:v>
      </x:c>
      <x:c r="D349" t="n">
        <x:v>3</x:v>
      </x:c>
    </x:row>
    <x:row r="350">
      <x:c r="A350" s="5" t="str">
        <x:v>Reading &amp; Decoding Difficulties</x:v>
      </x:c>
      <x:c r="B350" s="5" t="str">
        <x:v>Turning diagrams or visual models into written code can take extra effort.</x:v>
      </x:c>
      <x:c r="C350" t="n">
        <x:v>3</x:v>
      </x:c>
      <x:c r="D350" t="n">
        <x:v>3</x:v>
      </x:c>
    </x:row>
    <x:row r="351">
      <x:c r="A351" s="5" t="str">
        <x:v>Reading &amp; Decoding Difficulties</x:v>
      </x:c>
      <x:c r="B351" s="5" t="str">
        <x:v>Large amounts of structured information can be difficult to process quickly.</x:v>
      </x:c>
      <x:c r="C351" t="n">
        <x:v>3</x:v>
      </x:c>
      <x:c r="D351" t="n">
        <x:v>3</x:v>
      </x:c>
    </x:row>
    <x:row r="352">
      <x:c r="A352" s="5" t="str">
        <x:v>Reading &amp; Decoding Difficulties</x:v>
      </x:c>
      <x:c r="B352" s="5" t="str">
        <x:v>Working with unfamiliar or complex code can require extra effort to understand.</x:v>
      </x:c>
      <x:c r="C352" t="n">
        <x:v>3</x:v>
      </x:c>
      <x:c r="D352" t="n">
        <x:v>3</x:v>
      </x:c>
    </x:row>
    <x:row r="353">
      <x:c r="A353" s="5" t="str">
        <x:v>Reading &amp; Decoding Difficulties</x:v>
      </x:c>
      <x:c r="B353" s="5" t="str">
        <x:v>Written instructions can be harder to understand than the code itself.</x:v>
      </x:c>
      <x:c r="C353"/>
      <x:c r="D353"/>
    </x:row>
    <x:row r="354">
      <x:c r="A354" s="5" t="str">
        <x:v>Reading &amp; Decoding Difficulties</x:v>
      </x:c>
      <x:c r="B354" s="5" t="str">
        <x:v>Long or highly technical documentation, such as API documentation, can be difficult to follow.</x:v>
      </x:c>
      <x:c r="C354" t="n">
        <x:v>2</x:v>
      </x:c>
      <x:c r="D354" t="n">
        <x:v>1</x:v>
      </x:c>
    </x:row>
    <x:row r="355">
      <x:c r="A355" s="5" t="str">
        <x:v>Reading &amp; Decoding Difficulties</x:v>
      </x:c>
      <x:c r="B355" s="5" t="str">
        <x:v>Interface text is sometimes misread because of dyslexia.</x:v>
      </x:c>
      <x:c r="C355" t="n">
        <x:v>3</x:v>
      </x:c>
      <x:c r="D355" t="n">
        <x:v>3</x:v>
      </x:c>
    </x:row>
    <x:row r="356">
      <x:c r="A356" s="5" t="str">
        <x:v>Reading &amp; Decoding Difficulties</x:v>
      </x:c>
      <x:c r="B356" s="5" t="str">
        <x:v>Keeping up with spoken explanations, especially when numbers are mentioned, can be difficult.</x:v>
      </x:c>
      <x:c r="C356" t="n">
        <x:v>3</x:v>
      </x:c>
      <x:c r="D356" t="n">
        <x:v>3</x:v>
      </x:c>
    </x:row>
    <x:row r="357">
      <x:c r="A357" s="5" t="str">
        <x:v>Reading &amp; Decoding Difficulties</x:v>
      </x:c>
      <x:c r="B357" s="5" t="str">
        <x:v>Small syntax errors are sometimes easy for me to miss when reading code.</x:v>
      </x:c>
      <x:c r="C357" t="n">
        <x:v>4</x:v>
      </x:c>
      <x:c r="D357" t="n">
        <x:v>3</x:v>
      </x:c>
    </x:row>
    <x:row r="358">
      <x:c r="A358" s="5" t="str">
        <x:v>Reading &amp; Decoding Difficulties</x:v>
      </x:c>
      <x:c r="B358" s="5" t="str">
        <x:v>The amount of reading and writing required in software engineering can feel overwhelming.</x:v>
      </x:c>
      <x:c r="C358" t="n">
        <x:v>3</x:v>
      </x:c>
      <x:c r="D358" t="n">
        <x:v>3</x:v>
      </x:c>
    </x:row>
    <x:row r="359">
      <x:c r="A359" s="5" t="str">
        <x:v>Reading &amp; Decoding Difficulties</x:v>
      </x:c>
      <x:c r="B359" s="5" t="str">
        <x:v>Symbols that look similar or long lines of text can be difficult for me to distinguish.</x:v>
      </x:c>
      <x:c r="C359" t="n">
        <x:v>3</x:v>
      </x:c>
      <x:c r="D359" t="n">
        <x:v>3</x:v>
      </x:c>
    </x:row>
    <x:row r="360">
      <x:c r="A360" s="5" t="str">
        <x:v>Reading &amp; Decoding Difficulties</x:v>
      </x:c>
      <x:c r="B360" s="5" t="str">
        <x:v>Unclear or vague instructions can easily lead to mistakes.</x:v>
      </x:c>
      <x:c r="C360" t="n">
        <x:v>3</x:v>
      </x:c>
      <x:c r="D360" t="n">
        <x:v>3</x:v>
      </x:c>
    </x:row>
    <x:row r="361">
      <x:c r="A361" s="5" t="str">
        <x:v>Attention Difficulties</x:v>
      </x:c>
      <x:c r="B361" s="5" t="str">
        <x:v>Following long tutorials or documentation with many details can be difficult.</x:v>
      </x:c>
      <x:c r="C361" t="n">
        <x:v>4</x:v>
      </x:c>
      <x:c r="D361" t="n">
        <x:v>2</x:v>
      </x:c>
    </x:row>
    <x:row r="362">
      <x:c r="A362" s="5" t="str">
        <x:v>Attention Difficulties</x:v>
      </x:c>
      <x:c r="B362" s="5" t="str">
        <x:v>Maintaining attention during complex technical configurations or setup tasks can be challenging.</x:v>
      </x:c>
      <x:c r="C362" t="n">
        <x:v>2</x:v>
      </x:c>
      <x:c r="D362" t="n">
        <x:v>2</x:v>
      </x:c>
    </x:row>
    <x:row r="363">
      <x:c r="A363" s="5" t="str">
        <x:v>Attention Difficulties</x:v>
      </x:c>
      <x:c r="B363" s="5" t="str">
        <x:v>When a task requires sustained concentration, focus can become difficult to maintain.</x:v>
      </x:c>
      <x:c r="C363" t="n">
        <x:v>2</x:v>
      </x:c>
      <x:c r="D363" t="n">
        <x:v>3</x:v>
      </x:c>
    </x:row>
    <x:row r="364">
      <x:c r="A364" s="5" t="str">
        <x:v>Attention Difficulties</x:v>
      </x:c>
      <x:c r="B364" s="5" t="str">
        <x:v>Loss of focus can make it easier to miss errors in code or instructions.</x:v>
      </x:c>
      <x:c r="C364" t="n">
        <x:v>2</x:v>
      </x:c>
      <x:c r="D364" t="n">
        <x:v>1</x:v>
      </x:c>
    </x:row>
    <x:row r="365">
      <x:c r="A365" s="5" t="str">
        <x:v>Attention Difficulties</x:v>
      </x:c>
      <x:c r="B365" s="5" t="str">
        <x:v>Small details in code or documentation can sometimes be easy to overlook.</x:v>
      </x:c>
      <x:c r="C365" t="n">
        <x:v>3</x:v>
      </x:c>
      <x:c r="D365" t="n">
        <x:v>3</x:v>
      </x:c>
    </x:row>
    <x:row r="366">
      <x:c r="A366" s="5" t="str">
        <x:v>Attention Difficulties</x:v>
      </x:c>
      <x:c r="B366" s="5" t="str">
        <x:v>When too much information appears at once, it becomes harder to stay focused.</x:v>
      </x:c>
      <x:c r="C366" t="n">
        <x:v>4</x:v>
      </x:c>
      <x:c r="D366" t="n">
        <x:v>3</x:v>
      </x:c>
    </x:row>
    <x:row r="367">
      <x:c r="A367" s="5" t="str">
        <x:v>Attention Difficulties</x:v>
      </x:c>
      <x:c r="B367" s="5" t="str">
        <x:v>Multiple notifications, conversations, or tasks can make it difficult to maintain attention.</x:v>
      </x:c>
      <x:c r="C367" t="n">
        <x:v>4</x:v>
      </x:c>
      <x:c r="D367" t="n">
        <x:v>4</x:v>
      </x:c>
    </x:row>
    <x:row r="368">
      <x:c r="A368" s="5" t="str">
        <x:v>Writing &amp; Spelling Difficulties</x:v>
      </x:c>
      <x:c r="B368" s="5" t="str">
        <x:v>Misspellings in code can lead to inconsistent variable or function names.</x:v>
      </x:c>
      <x:c r="C368" t="n">
        <x:v>3</x:v>
      </x:c>
      <x:c r="D368" t="n">
        <x:v>2</x:v>
      </x:c>
    </x:row>
    <x:row r="369">
      <x:c r="A369" s="5" t="str">
        <x:v>Writing &amp; Spelling Difficulties</x:v>
      </x:c>
      <x:c r="B369" s="5" t="str">
        <x:v>Typing mistakes can make it harder to produce clean or error-free code.</x:v>
      </x:c>
      <x:c r="C369" t="n">
        <x:v>3</x:v>
      </x:c>
      <x:c r="D369" t="n">
        <x:v>4</x:v>
      </x:c>
    </x:row>
    <x:row r="370">
      <x:c r="A370" s="5" t="str">
        <x:v>Writing &amp; Spelling Difficulties</x:v>
      </x:c>
      <x:c r="B370" s="5" t="str">
        <x:v>Explaining ideas clearly when writing comments, documentation, or messages can be difficult.</x:v>
      </x:c>
      <x:c r="C370" t="n">
        <x:v>4</x:v>
      </x:c>
      <x:c r="D370" t="n">
        <x:v>4</x:v>
      </x:c>
    </x:row>
    <x:row r="371">
      <x:c r="A371" s="5" t="str">
        <x:v>Writing &amp; Spelling Difficulties</x:v>
      </x:c>
      <x:c r="B371" s="5" t="str">
        <x:v>Writing technical documentation clearly and accurately can be challenging.</x:v>
      </x:c>
      <x:c r="C371" t="n">
        <x:v>4</x:v>
      </x:c>
      <x:c r="D371" t="n">
        <x:v>4</x:v>
      </x:c>
    </x:row>
    <x:row r="372">
      <x:c r="A372" s="5" t="str">
        <x:v>Writing &amp; Spelling Difficulties</x:v>
      </x:c>
      <x:c r="B372" s="5" t="str">
        <x:v>Spelling difficulties can affect how variables, methods, or configuration names are written.</x:v>
      </x:c>
      <x:c r="C372" t="n">
        <x:v>3</x:v>
      </x:c>
      <x:c r="D372" t="n">
        <x:v>3</x:v>
      </x:c>
    </x:row>
    <x:row r="373">
      <x:c r="A373" s="5" t="str">
        <x:v>Writing &amp; Spelling Difficulties</x:v>
      </x:c>
      <x:c r="B373" s="5" t="str">
        <x:v>Putting thoughts into clear written explanations can require extra time.</x:v>
      </x:c>
      <x:c r="C373" t="n">
        <x:v>4</x:v>
      </x:c>
      <x:c r="D373" t="n">
        <x:v>3</x:v>
      </x:c>
    </x:row>
    <x:row r="374">
      <x:c r="A374" s="5" t="str">
        <x:v>Writing &amp; Spelling Difficulties</x:v>
      </x:c>
      <x:c r="B374" s="5" t="str">
        <x:v>Formatting written content so that it is easy to read can require extra effort.</x:v>
      </x:c>
      <x:c r="C374" t="n">
        <x:v>4</x:v>
      </x:c>
      <x:c r="D374" t="n">
        <x:v>3</x:v>
      </x:c>
    </x:row>
    <x:row r="375">
      <x:c r="A375" s="5" t="str">
        <x:v>Writing &amp; Spelling Difficulties</x:v>
      </x:c>
      <x:c r="B375" s="5" t="str">
        <x:v>Organizing written notes or explanations so they are easy for others to follow can be challenging.</x:v>
      </x:c>
      <x:c r="C375" t="n">
        <x:v>4</x:v>
      </x:c>
      <x:c r="D375" t="n">
        <x:v>3</x:v>
      </x:c>
    </x:row>
    <x:row r="376">
      <x:c r="A376" s="5" t="str">
        <x:v>Writing &amp; Spelling Difficulties</x:v>
      </x:c>
      <x:c r="B376" s="5" t="str">
        <x:v>Writing emails, chat messages, or issue descriptions can take extra effort or feel confusing.</x:v>
      </x:c>
      <x:c r="C376" t="n">
        <x:v>4</x:v>
      </x:c>
      <x:c r="D376" t="n">
        <x:v>3</x:v>
      </x:c>
    </x:row>
    <x:row r="377">
      <x:c r="A377" s="5" t="str">
        <x:v>Writing &amp; Spelling Difficulties</x:v>
      </x:c>
      <x:c r="B377" s="5" t="str">
        <x:v>Writing with correct spelling often takes longer than expected.</x:v>
      </x:c>
      <x:c r="C377" t="n">
        <x:v>3</x:v>
      </x:c>
      <x:c r="D377" t="n">
        <x:v>2</x:v>
      </x:c>
    </x:row>
    <x:row r="378">
      <x:c r="A378" s="5" t="str">
        <x:v>Writing &amp; Spelling Difficulties</x:v>
      </x:c>
      <x:c r="B378" s="5" t="str">
        <x:v>It can be difficult to notice and correct spelling mistakes in what I write.</x:v>
      </x:c>
      <x:c r="C378" t="n">
        <x:v>2</x:v>
      </x:c>
      <x:c r="D378" t="n">
        <x:v>2</x:v>
      </x:c>
    </x:row>
    <x:row r="379">
      <x:c r="A379" s="5" t="str">
        <x:v>Writing &amp; Spelling Difficulties</x:v>
      </x:c>
      <x:c r="B379" s="5" t="str">
        <x:v>Concerns about spelling mistakes can sometimes create stress or self-doubt when writing.</x:v>
      </x:c>
      <x:c r="C379" t="n">
        <x:v>4</x:v>
      </x:c>
      <x:c r="D379" t="n">
        <x:v>4</x:v>
      </x:c>
    </x:row>
    <x:row r="380">
      <x:c r="A380" s="5" t="str">
        <x:v>Reading &amp; Decoding Difficulties</x:v>
      </x:c>
      <x:c r="B380" s="5" t="str">
        <x:v>Reading code line by line can be tiring and easy to lose track of.</x:v>
      </x:c>
      <x:c r="C380" t="n">
        <x:v>2</x:v>
      </x:c>
      <x:c r="D380" t="n">
        <x:v>2</x:v>
      </x:c>
    </x:row>
    <x:row r="381">
      <x:c r="A381" s="5" t="str">
        <x:v>Reading &amp; Decoding Difficulties</x:v>
      </x:c>
      <x:c r="B381" s="5" t="str">
        <x:v>Long or highly technical documentation, such as API documentation, can be difficult to follow.</x:v>
      </x:c>
      <x:c r="C381" t="n">
        <x:v>4</x:v>
      </x:c>
      <x:c r="D381" t="n">
        <x:v>4</x:v>
      </x:c>
    </x:row>
    <x:row r="382">
      <x:c r="A382" s="5" t="str">
        <x:v>Reading &amp; Decoding Difficulties</x:v>
      </x:c>
      <x:c r="B382" s="5" t="str">
        <x:v>Written information often takes longer for me to read and understand.</x:v>
      </x:c>
      <x:c r="C382" t="n">
        <x:v>4</x:v>
      </x:c>
      <x:c r="D382" t="n">
        <x:v>4</x:v>
      </x:c>
    </x:row>
    <x:row r="383">
      <x:c r="A383" s="5" t="str">
        <x:v>Reading &amp; Decoding Difficulties</x:v>
      </x:c>
      <x:c r="B383" s="5" t="str">
        <x:v>When reading unfamiliar text, it can be difficult to recognise the correct spelling of words.</x:v>
      </x:c>
      <x:c r="C383" t="n">
        <x:v>4</x:v>
      </x:c>
      <x:c r="D383" t="n">
        <x:v>2</x:v>
      </x:c>
    </x:row>
    <x:row r="384">
      <x:c r="A384" s="5" t="str">
        <x:v>Reading &amp; Decoding Difficulties</x:v>
      </x:c>
      <x:c r="B384" s="5" t="str">
        <x:v>Symbols that look similar or long lines of text can be difficult for me to distinguish.</x:v>
      </x:c>
      <x:c r="C384" t="n">
        <x:v>4</x:v>
      </x:c>
      <x:c r="D384" t="n">
        <x:v>2</x:v>
      </x:c>
    </x:row>
    <x:row r="385">
      <x:c r="A385" s="5" t="str">
        <x:v>Reading &amp; Decoding Difficulties</x:v>
      </x:c>
      <x:c r="B385" s="5" t="str">
        <x:v>Keeping up with spoken explanations, especially when numbers are mentioned, can be difficult.</x:v>
      </x:c>
      <x:c r="C385" t="n">
        <x:v>4</x:v>
      </x:c>
      <x:c r="D385" t="n">
        <x:v>4</x:v>
      </x:c>
    </x:row>
    <x:row r="386">
      <x:c r="A386" s="5" t="str">
        <x:v>Reading &amp; Decoding Difficulties</x:v>
      </x:c>
      <x:c r="B386" s="5" t="str">
        <x:v>Multi-step instructions that involve numbers can be hard to follow.</x:v>
      </x:c>
      <x:c r="C386" t="n">
        <x:v>4</x:v>
      </x:c>
      <x:c r="D386" t="n">
        <x:v>4</x:v>
      </x:c>
    </x:row>
    <x:row r="387">
      <x:c r="A387" s="5" t="str">
        <x:v>Reading &amp; Decoding Difficulties</x:v>
      </x:c>
      <x:c r="B387" s="5" t="str">
        <x:v>Reading complex explanations sometimes leads to confusion or misunderstanding.</x:v>
      </x:c>
      <x:c r="C387" t="n">
        <x:v>3</x:v>
      </x:c>
      <x:c r="D387" t="n">
        <x:v>2</x:v>
      </x:c>
    </x:row>
    <x:row r="388">
      <x:c r="A388" s="5" t="str">
        <x:v>Reading &amp; Decoding Difficulties</x:v>
      </x:c>
      <x:c r="B388" s="5" t="str">
        <x:v>Learning new programming languages can be harder because of the reading load involved.</x:v>
      </x:c>
      <x:c r="C388" t="n">
        <x:v>3</x:v>
      </x:c>
      <x:c r="D388" t="n">
        <x:v>3</x:v>
      </x:c>
    </x:row>
    <x:row r="389">
      <x:c r="A389" s="5" t="str">
        <x:v>Reading &amp; Decoding Difficulties</x:v>
      </x:c>
      <x:c r="B389" s="5" t="str">
        <x:v>Scanning through code and quickly recognising symbols can sometimes be difficult.</x:v>
      </x:c>
      <x:c r="C389" t="n">
        <x:v>2</x:v>
      </x:c>
      <x:c r="D389" t="n">
        <x:v>2</x:v>
      </x:c>
    </x:row>
    <x:row r="390">
      <x:c r="A390" s="5" t="str">
        <x:v>Reading &amp; Decoding Difficulties</x:v>
      </x:c>
      <x:c r="B390" s="5" t="str">
        <x:v>Timed coding challenges can be difficult because the instructions must be read quickly.</x:v>
      </x:c>
      <x:c r="C390" t="n">
        <x:v>4</x:v>
      </x:c>
      <x:c r="D390" t="n">
        <x:v>4</x:v>
      </x:c>
    </x:row>
    <x:row r="391">
      <x:c r="A391" s="5" t="str">
        <x:v>Reading &amp; Decoding Difficulties</x:v>
      </x:c>
      <x:c r="B391" s="5" t="str">
        <x:v>Large amounts of structured information can be difficult to process quickly.</x:v>
      </x:c>
      <x:c r="C391" t="n">
        <x:v>3</x:v>
      </x:c>
      <x:c r="D391" t="n">
        <x:v>2</x:v>
      </x:c>
    </x:row>
    <x:row r="392">
      <x:c r="A392" s="5" t="str">
        <x:v>Reading &amp; Decoding Difficulties</x:v>
      </x:c>
      <x:c r="B392" s="5" t="str">
        <x:v>Tasks sometimes take longer because reading and processing information slows me down.</x:v>
      </x:c>
      <x:c r="C392" t="n">
        <x:v>4</x:v>
      </x:c>
      <x:c r="D392" t="n">
        <x:v>3</x:v>
      </x:c>
    </x:row>
    <x:row r="393">
      <x:c r="A393" s="5" t="str">
        <x:v>Reading &amp; Decoding Difficulties</x:v>
      </x:c>
      <x:c r="B393" s="5" t="str">
        <x:v>Turning diagrams or visual models into written code can take extra effort.</x:v>
      </x:c>
      <x:c r="C393" t="n">
        <x:v>3</x:v>
      </x:c>
      <x:c r="D393" t="n">
        <x:v>3</x:v>
      </x:c>
    </x:row>
    <x:row r="394">
      <x:c r="A394" s="5" t="str">
        <x:v>Reading &amp; Decoding Difficulties</x:v>
      </x:c>
      <x:c r="B394" s="5" t="str">
        <x:v>Working with unfamiliar or complex code can require extra effort to understand.</x:v>
      </x:c>
      <x:c r="C394" t="n">
        <x:v>3</x:v>
      </x:c>
      <x:c r="D394" t="n">
        <x:v>3</x:v>
      </x:c>
    </x:row>
    <x:row r="395">
      <x:c r="A395" s="5" t="str">
        <x:v>Reading &amp; Decoding Difficulties</x:v>
      </x:c>
      <x:c r="B395" s="5" t="str">
        <x:v>Interface text is sometimes misread because of dyslexia.</x:v>
      </x:c>
      <x:c r="C395" t="n">
        <x:v>2</x:v>
      </x:c>
      <x:c r="D395" t="n">
        <x:v>1</x:v>
      </x:c>
    </x:row>
    <x:row r="396">
      <x:c r="A396" s="5" t="str">
        <x:v>Reading &amp; Decoding Difficulties</x:v>
      </x:c>
      <x:c r="B396" s="5" t="str">
        <x:v>Long variable names made from multiple concatenated words can be difficult to read.</x:v>
      </x:c>
      <x:c r="C396" t="n">
        <x:v>3</x:v>
      </x:c>
      <x:c r="D396" t="n">
        <x:v>2</x:v>
      </x:c>
    </x:row>
    <x:row r="397">
      <x:c r="A397" s="5" t="str">
        <x:v>Reading &amp; Decoding Difficulties</x:v>
      </x:c>
      <x:c r="B397" s="5" t="str">
        <x:v>Writing documentation to communicate ideas clearly can be challenging.</x:v>
      </x:c>
      <x:c r="C397" t="n">
        <x:v>2</x:v>
      </x:c>
      <x:c r="D397" t="n">
        <x:v>1</x:v>
      </x:c>
    </x:row>
    <x:row r="398">
      <x:c r="A398" s="5" t="str">
        <x:v>Reading &amp; Decoding Difficulties</x:v>
      </x:c>
      <x:c r="B398" s="5" t="str">
        <x:v>Small syntax errors are sometimes easy for me to miss when reading code.</x:v>
      </x:c>
      <x:c r="C398" t="n">
        <x:v>2</x:v>
      </x:c>
      <x:c r="D398" t="n">
        <x:v>2</x:v>
      </x:c>
    </x:row>
    <x:row r="399">
      <x:c r="A399" s="5" t="str">
        <x:v>Reading &amp; Decoding Difficulties</x:v>
      </x:c>
      <x:c r="B399" s="5" t="str">
        <x:v>Written instructions can be harder to understand than the code itself.</x:v>
      </x:c>
      <x:c r="C399" t="n">
        <x:v>2</x:v>
      </x:c>
      <x:c r="D399" t="n">
        <x:v>2</x:v>
      </x:c>
    </x:row>
    <x:row r="400">
      <x:c r="A400" s="5" t="str">
        <x:v>Reading &amp; Decoding Difficulties</x:v>
      </x:c>
      <x:c r="B400" s="5" t="str">
        <x:v>The amount of reading and writing required in software engineering can feel overwhelming.</x:v>
      </x:c>
      <x:c r="C400" t="n">
        <x:v>3</x:v>
      </x:c>
      <x:c r="D400" t="n">
        <x:v>2</x:v>
      </x:c>
    </x:row>
    <x:row r="401">
      <x:c r="A401" s="5" t="str">
        <x:v>Reading &amp; Decoding Difficulties</x:v>
      </x:c>
      <x:c r="B401" s="5" t="str">
        <x:v>Making changes to data structures can be challenging when the code is hard to read.</x:v>
      </x:c>
      <x:c r="C401" t="n">
        <x:v>1</x:v>
      </x:c>
      <x:c r="D401" t="n">
        <x:v>1</x:v>
      </x:c>
    </x:row>
    <x:row r="402">
      <x:c r="A402" s="5" t="str">
        <x:v>Reading &amp; Decoding Difficulties</x:v>
      </x:c>
      <x:c r="B402" s="5" t="str">
        <x:v>Unclear or vague instructions can easily lead to mistakes.</x:v>
      </x:c>
      <x:c r="C402" t="n">
        <x:v>4</x:v>
      </x:c>
      <x:c r="D402" t="n">
        <x:v>4</x:v>
      </x:c>
    </x:row>
    <x:row r="403">
      <x:c r="A403" s="5" t="str">
        <x:v>Reading &amp; Decoding Difficulties</x:v>
      </x:c>
      <x:c r="B403" s="5" t="str">
        <x:v>Similar characters in SQL or programming languages can sometimes be misread.</x:v>
      </x:c>
      <x:c r="C403" t="n">
        <x:v>1</x:v>
      </x:c>
      <x:c r="D403" t="n">
        <x:v>0</x:v>
      </x:c>
    </x:row>
    <x:row r="404">
      <x:c r="A404" s="5" t="str">
        <x:v>Communication &amp; Expression</x:v>
      </x:c>
      <x:c r="B404" s="5" t="str">
        <x:v>Written communication can sometimes be unclear due to formatting or structure issues.</x:v>
      </x:c>
      <x:c r="C404" t="n">
        <x:v>2</x:v>
      </x:c>
      <x:c r="D404" t="n">
        <x:v>1</x:v>
      </x:c>
    </x:row>
    <x:row r="405">
      <x:c r="A405" s="5" t="str">
        <x:v>Communication &amp; Expression</x:v>
      </x:c>
      <x:c r="B405" s="5" t="str">
        <x:v>Taking notes during discussions can be difficult when information is shared quickly.</x:v>
      </x:c>
      <x:c r="C405" t="n">
        <x:v>4</x:v>
      </x:c>
      <x:c r="D405" t="n">
        <x:v>3</x:v>
      </x:c>
    </x:row>
    <x:row r="406">
      <x:c r="A406" s="5" t="str">
        <x:v>Communication &amp; Expression</x:v>
      </x:c>
      <x:c r="B406" s="5" t="str">
        <x:v>Explaining processes or ideas step-by-step can be challenging.</x:v>
      </x:c>
      <x:c r="C406" t="n">
        <x:v>3</x:v>
      </x:c>
      <x:c r="D406" t="n">
        <x:v>2</x:v>
      </x:c>
    </x:row>
    <x:row r="407">
      <x:c r="A407" s="5" t="str">
        <x:v>Communication &amp; Expression</x:v>
      </x:c>
      <x:c r="B407" s="5" t="str">
        <x:v>Finding the right words to explain technical ideas can sometimes be difficult.</x:v>
      </x:c>
      <x:c r="C407" t="n">
        <x:v>3</x:v>
      </x:c>
      <x:c r="D407" t="n">
        <x:v>2</x:v>
      </x:c>
    </x:row>
    <x:row r="408">
      <x:c r="A408" s="5" t="str">
        <x:v>Communication &amp; Expression</x:v>
      </x:c>
      <x:c r="B408" s="5" t="str">
        <x:v>Understanding detailed or highly technical explanations can require extra effort.</x:v>
      </x:c>
      <x:c r="C408" t="n">
        <x:v>3</x:v>
      </x:c>
      <x:c r="D408" t="n">
        <x:v>3</x:v>
      </x:c>
    </x:row>
    <x:row r="409">
      <x:c r="A409" s="5" t="str">
        <x:v>Communication &amp; Expression</x:v>
      </x:c>
      <x:c r="B409" s="5" t="str">
        <x:v>Explaining visual ideas or mental models to others can be challenging.</x:v>
      </x:c>
      <x:c r="C409" t="n">
        <x:v>2</x:v>
      </x:c>
      <x:c r="D409" t="n">
        <x:v>2</x:v>
      </x:c>
    </x:row>
    <x:row r="410">
      <x:c r="A410" s="5" t="str">
        <x:v>Communication &amp; Expression</x:v>
      </x:c>
      <x:c r="B410" s="5" t="str">
        <x:v>Explaining ideas in a way that others easily understand can take extra effort.</x:v>
      </x:c>
      <x:c r="C410" t="n">
        <x:v>4</x:v>
      </x:c>
      <x:c r="D410" t="n">
        <x:v>3</x:v>
      </x:c>
    </x:row>
    <x:row r="411">
      <x:c r="A411" s="5" t="str">
        <x:v>Communication &amp; Expression</x:v>
      </x:c>
      <x:c r="B411" s="5" t="str">
        <x:v>When under time pressure, it can be harder to express ideas clearly.</x:v>
      </x:c>
      <x:c r="C411" t="n">
        <x:v>4</x:v>
      </x:c>
      <x:c r="D411" t="n">
        <x:v>4</x:v>
      </x:c>
    </x:row>
    <x:row r="412">
      <x:c r="A412" s="5" t="str">
        <x:v>Communication &amp; Expression</x:v>
      </x:c>
      <x:c r="B412" s="5" t="str">
        <x:v>Organizing thoughts clearly while speaking in conversations can be challenging.</x:v>
      </x:c>
      <x:c r="C412" t="n">
        <x:v>4</x:v>
      </x:c>
      <x:c r="D412" t="n">
        <x:v>4</x:v>
      </x:c>
    </x:row>
    <x:row r="413">
      <x:c r="A413" s="5" t="str">
        <x:v>Analytical Thinking &amp; Problem Solving</x:v>
      </x:c>
      <x:c r="B413" s="5" t="str">
        <x:v>Understanding how complex systems or architectures work can take extra time.</x:v>
      </x:c>
      <x:c r="C413" t="n">
        <x:v>3</x:v>
      </x:c>
      <x:c r="D413" t="n">
        <x:v>2</x:v>
      </x:c>
    </x:row>
    <x:row r="414">
      <x:c r="A414" s="5" t="str">
        <x:v>Analytical Thinking &amp; Problem Solving</x:v>
      </x:c>
      <x:c r="B414" s="5" t="str">
        <x:v>Tasks that require very precise logical thinking and careful tracking of steps can be challenging.</x:v>
      </x:c>
      <x:c r="C414" t="n">
        <x:v>2</x:v>
      </x:c>
      <x:c r="D414" t="n">
        <x:v>1</x:v>
      </x:c>
    </x:row>
    <x:row r="415">
      <x:c r="A415" s="5" t="str">
        <x:v>Analytical Thinking &amp; Problem Solving</x:v>
      </x:c>
      <x:c r="B415" s="5" t="str">
        <x:v>In long or complex methods, it can be easy to lose track of the logic.</x:v>
      </x:c>
      <x:c r="C415" t="n">
        <x:v>3</x:v>
      </x:c>
      <x:c r="D415" t="n">
        <x:v>2</x:v>
      </x:c>
    </x:row>
    <x:row r="416">
      <x:c r="A416" s="5" t="str">
        <x:v>Analytical Thinking &amp; Problem Solving</x:v>
      </x:c>
      <x:c r="B416" s="5" t="str">
        <x:v>Understanding how different parts of a system connect when reading source code can be difficult.</x:v>
      </x:c>
      <x:c r="C416" t="n">
        <x:v>4</x:v>
      </x:c>
      <x:c r="D416" t="n">
        <x:v>3</x:v>
      </x:c>
    </x:row>
    <x:row r="417">
      <x:c r="A417" s="5" t="str">
        <x:v>Analytical Thinking &amp; Problem Solving</x:v>
      </x:c>
      <x:c r="B417" s="5" t="str">
        <x:v>Working through problems step by step can sometimes be difficult.</x:v>
      </x:c>
      <x:c r="C417" t="n">
        <x:v>1</x:v>
      </x:c>
      <x:c r="D417" t="n">
        <x:v>1</x:v>
      </x:c>
    </x:row>
    <x:row r="418">
      <x:c r="A418" s="5" t="str">
        <x:v>Analytical Thinking &amp; Problem Solving</x:v>
      </x:c>
      <x:c r="B418" s="5" t="str">
        <x:v>Reasoning through multi-step logic or algorithms can take additional effort.</x:v>
      </x:c>
      <x:c r="C418" t="n">
        <x:v>3</x:v>
      </x:c>
      <x:c r="D418" t="n">
        <x:v>2</x:v>
      </x:c>
    </x:row>
    <x:row r="419">
      <x:c r="A419" s="5" t="str">
        <x:v>Analytical Thinking &amp; Problem Solving</x:v>
      </x:c>
      <x:c r="B419" s="5" t="str">
        <x:v>Understanding what code is doing just by reading it can require extra effort.</x:v>
      </x:c>
      <x:c r="C419" t="n">
        <x:v>2</x:v>
      </x:c>
      <x:c r="D419" t="n">
        <x:v>1</x:v>
      </x:c>
    </x:row>
    <x:row r="420">
      <x:c r="A420" s="5" t="str">
        <x:v>Analytical Thinking &amp; Problem Solving</x:v>
      </x:c>
      <x:c r="B420" s="5" t="str">
        <x:v>Programming tutorials or learning materials can be hard to follow unless they are simplified.</x:v>
      </x:c>
      <x:c r="C420" t="n">
        <x:v>3</x:v>
      </x:c>
      <x:c r="D420" t="n">
        <x:v>1</x:v>
      </x:c>
    </x:row>
    <x:row r="421">
      <x:c r="A421" s="5" t="str">
        <x:v>Analytical Thinking &amp; Problem Solving</x:v>
      </x:c>
      <x:c r="B421" s="5" t="str">
        <x:v>Building and maintaining a clear mental model of how a system works can be challenging.</x:v>
      </x:c>
      <x:c r="C421" t="n">
        <x:v>2</x:v>
      </x:c>
      <x:c r="D421" t="n">
        <x:v>1</x:v>
      </x:c>
    </x:row>
    <x:row r="422">
      <x:c r="A422" s="5" t="str">
        <x:v>Planning, Organization, and Time Management</x:v>
      </x:c>
      <x:c r="B422" s="5" t="str">
        <x:v>Extra time is often needed to think through or visualize a solution before beginning to code.</x:v>
      </x:c>
      <x:c r="C422" t="n">
        <x:v>3</x:v>
      </x:c>
      <x:c r="D422" t="n">
        <x:v>2</x:v>
      </x:c>
    </x:row>
    <x:row r="423">
      <x:c r="A423" s="5" t="str">
        <x:v>Planning, Organization, and Time Management</x:v>
      </x:c>
      <x:c r="B423" s="5" t="str">
        <x:v>Breaking down a problem and planning the steps before starting a task can be challenging.</x:v>
      </x:c>
      <x:c r="C423" t="n">
        <x:v>2</x:v>
      </x:c>
      <x:c r="D423" t="n">
        <x:v>1</x:v>
      </x:c>
    </x:row>
    <x:row r="424">
      <x:c r="A424" s="5" t="str">
        <x:v>Planning, Organization, and Time Management</x:v>
      </x:c>
      <x:c r="B424" s="5" t="str">
        <x:v>Getting started on a coding task can sometimes take longer than expected.</x:v>
      </x:c>
      <x:c r="C424" t="n">
        <x:v>2</x:v>
      </x:c>
      <x:c r="D424" t="n">
        <x:v>2</x:v>
      </x:c>
    </x:row>
    <x:row r="425">
      <x:c r="A425" s="5" t="str">
        <x:v>Planning, Organization, and Time Management</x:v>
      </x:c>
      <x:c r="B425" s="5" t="str">
        <x:v>Organizing tasks and priorities during development work can require extra effort.</x:v>
      </x:c>
      <x:c r="C425" t="n">
        <x:v>2</x:v>
      </x:c>
      <x:c r="D425" t="n">
        <x:v>2</x:v>
      </x:c>
    </x:row>
    <x:row r="426">
      <x:c r="A426" s="5" t="str">
        <x:v>Planning, Organization, and Time Management</x:v>
      </x:c>
      <x:c r="B426" s="5" t="str">
        <x:v>Managing several tasks at the same time can be difficult.</x:v>
      </x:c>
      <x:c r="C426" t="n">
        <x:v>2</x:v>
      </x:c>
      <x:c r="D426" t="n">
        <x:v>1</x:v>
      </x:c>
    </x:row>
    <x:row r="427">
      <x:c r="A427" s="5" t="str">
        <x:v>Working Memory Limitations</x:v>
      </x:c>
      <x:c r="B427" s="5" t="str">
        <x:v>It is easy to forget information that was just read or seen while working on a task.</x:v>
      </x:c>
      <x:c r="C427" t="n">
        <x:v>4</x:v>
      </x:c>
      <x:c r="D427" t="n">
        <x:v>4</x:v>
      </x:c>
    </x:row>
    <x:row r="428">
      <x:c r="A428" s="5" t="str">
        <x:v>Working Memory Limitations</x:v>
      </x:c>
      <x:c r="B428" s="5" t="str">
        <x:v>Tracking file paths, directories, or system states across multiple files can be difficult.</x:v>
      </x:c>
      <x:c r="C428" t="n">
        <x:v>3</x:v>
      </x:c>
      <x:c r="D428" t="n">
        <x:v>1</x:v>
      </x:c>
    </x:row>
    <x:row r="429">
      <x:c r="A429" s="5" t="str">
        <x:v>Working Memory Limitations</x:v>
      </x:c>
      <x:c r="B429" s="5" t="str">
        <x:v>Remembering programming syntax, commands, or concepts can require extra effort.</x:v>
      </x:c>
      <x:c r="C429" t="n">
        <x:v>4</x:v>
      </x:c>
      <x:c r="D429" t="n">
        <x:v>3</x:v>
      </x:c>
    </x:row>
    <x:row r="430">
      <x:c r="A430" s="5" t="str">
        <x:v>Working Memory Limitations</x:v>
      </x:c>
      <x:c r="B430" s="5" t="str">
        <x:v>Following step-by-step reasoning or multi-stage logic can be difficult.</x:v>
      </x:c>
      <x:c r="C430" t="n">
        <x:v>3</x:v>
      </x:c>
      <x:c r="D430" t="n">
        <x:v>2</x:v>
      </x:c>
    </x:row>
    <x:row r="431">
      <x:c r="A431" s="5" t="str">
        <x:v>Working Memory Limitations</x:v>
      </x:c>
      <x:c r="B431" s="5" t="str">
        <x:v>When tasks become mentally demanding, it is easy to lose track of what I was doing.</x:v>
      </x:c>
      <x:c r="C431" t="n">
        <x:v>3</x:v>
      </x:c>
      <x:c r="D431" t="n">
        <x:v>2</x:v>
      </x:c>
    </x:row>
    <x:row r="432">
      <x:c r="A432" s="5" t="str">
        <x:v>Working Memory Limitations</x:v>
      </x:c>
      <x:c r="B432" s="5" t="str">
        <x:v>Keeping track of multiple pieces of logic while debugging can lead to slower progress or mistakes.</x:v>
      </x:c>
      <x:c r="C432" t="n">
        <x:v>2</x:v>
      </x:c>
      <x:c r="D432" t="n">
        <x:v>2</x:v>
      </x:c>
    </x:row>
    <x:row r="433">
      <x:c r="A433" s="5" t="str">
        <x:v>Working Memory Limitations</x:v>
      </x:c>
      <x:c r="B433" s="5" t="str">
        <x:v>When too much information needs to be remembered at once, expressing ideas clearly becomes harder.</x:v>
      </x:c>
      <x:c r="C433" t="n">
        <x:v>4</x:v>
      </x:c>
      <x:c r="D433" t="n">
        <x:v>3</x:v>
      </x:c>
    </x:row>
    <x:row r="434">
      <x:c r="A434" s="5" t="str">
        <x:v>Working Memory Limitations</x:v>
      </x:c>
      <x:c r="B434" s="5" t="str">
        <x:v>Breaking down a large problem into smaller steps before starting a task can be difficult.</x:v>
      </x:c>
      <x:c r="C434" t="n">
        <x:v>2</x:v>
      </x:c>
      <x:c r="D434" t="n">
        <x:v>2</x:v>
      </x:c>
    </x:row>
    <x:row r="435">
      <x:c r="A435" s="5" t="str">
        <x:v>Working Memory Limitations</x:v>
      </x:c>
      <x:c r="B435" s="5" t="str">
        <x:v>After a fast verbal explanation, it can be hard to remember all the details.</x:v>
      </x:c>
      <x:c r="C435" t="n">
        <x:v>4</x:v>
      </x:c>
      <x:c r="D435" t="n">
        <x:v>4</x:v>
      </x:c>
    </x:row>
    <x:row r="436">
      <x:c r="A436" s="5" t="str">
        <x:v>Working Memory Limitations</x:v>
      </x:c>
      <x:c r="B436" s="5" t="str">
        <x:v>Starting a task can feel difficult when there is too much information to process at once.</x:v>
      </x:c>
      <x:c r="C436" t="n">
        <x:v>3</x:v>
      </x:c>
      <x:c r="D436" t="n">
        <x:v>3</x:v>
      </x:c>
    </x:row>
    <x:row r="437">
      <x:c r="A437" s="5" t="str">
        <x:v>Working Memory Limitations</x:v>
      </x:c>
      <x:c r="B437" s="5" t="str">
        <x:v>Following technical specifications that contain many numbers or details can be challenging.</x:v>
      </x:c>
      <x:c r="C437" t="n">
        <x:v>3</x:v>
      </x:c>
      <x:c r="D437" t="n">
        <x:v>3</x:v>
      </x:c>
    </x:row>
    <x:row r="438">
      <x:c r="A438" s="5" t="str">
        <x:v>Working Memory Limitations</x:v>
      </x:c>
      <x:c r="B438" s="5" t="str">
        <x:v>Learning a new programming language can be harder because there is a lot to remember at once.</x:v>
      </x:c>
      <x:c r="C438" t="n">
        <x:v>3</x:v>
      </x:c>
      <x:c r="D438" t="n">
        <x:v>3</x:v>
      </x:c>
    </x:row>
    <x:row r="439">
      <x:c r="A439" s="5" t="str">
        <x:v>Working Memory Limitations</x:v>
      </x:c>
      <x:c r="B439" s="5" t="str">
        <x:v>Turning a mental idea or design into working code can require extra effort.</x:v>
      </x:c>
      <x:c r="C439" t="n">
        <x:v>2</x:v>
      </x:c>
      <x:c r="D439" t="n">
        <x:v>2</x:v>
      </x:c>
    </x:row>
    <x:row r="440">
      <x:c r="A440" s="5" t="str">
        <x:v>Working Memory Limitations</x:v>
      </x:c>
      <x:c r="B440" s="5" t="str">
        <x:v>Understanding new material often requires repetition or visual aids.</x:v>
      </x:c>
      <x:c r="C440" t="n">
        <x:v>3</x:v>
      </x:c>
      <x:c r="D440" t="n">
        <x:v>2</x:v>
      </x:c>
    </x:row>
    <x:row r="441">
      <x:c r="A441" s="5" t="str">
        <x:v>Working Memory Limitations</x:v>
      </x:c>
      <x:c r="B441" s="5" t="str">
        <x:v>Remembering several steps in calculations, formulas, or processes can be challenging.</x:v>
      </x:c>
      <x:c r="C441" t="n">
        <x:v>3</x:v>
      </x:c>
      <x:c r="D441" t="n">
        <x:v>2</x:v>
      </x:c>
    </x:row>
    <x:row r="442">
      <x:c r="A442" s="5" t="str">
        <x:v>Working Memory Limitations</x:v>
      </x:c>
      <x:c r="B442" s="5" t="str">
        <x:v>Tasks that require holding a lot of information in mind can slow down progress.</x:v>
      </x:c>
      <x:c r="C442" t="n">
        <x:v>4</x:v>
      </x:c>
      <x:c r="D442" t="n">
        <x:v>3</x:v>
      </x:c>
    </x:row>
    <x:row r="443">
      <x:c r="A443" s="5" t="str">
        <x:v>Working Memory Limitations</x:v>
      </x:c>
      <x:c r="B443" s="5" t="str">
        <x:v>In long or complex methods, it is easy to lose track of the logic when the code changes.</x:v>
      </x:c>
      <x:c r="C443" t="n">
        <x:v>3</x:v>
      </x:c>
      <x:c r="D443" t="n">
        <x:v>2</x:v>
      </x:c>
    </x:row>
    <x:row r="444">
      <x:c r="A444" s="5" t="str">
        <x:v>Attention Difficulties</x:v>
      </x:c>
      <x:c r="B444" s="5" t="str">
        <x:v>Small details in code or documentation can sometimes be easy to overlook.</x:v>
      </x:c>
      <x:c r="C444" t="n">
        <x:v>2</x:v>
      </x:c>
      <x:c r="D444" t="n">
        <x:v>1</x:v>
      </x:c>
    </x:row>
    <x:row r="445">
      <x:c r="A445" s="5" t="str">
        <x:v>Attention Difficulties</x:v>
      </x:c>
      <x:c r="B445" s="5" t="str">
        <x:v>Multiple notifications, conversations, or tasks can make it difficult to maintain attention.</x:v>
      </x:c>
      <x:c r="C445" t="n">
        <x:v>3</x:v>
      </x:c>
      <x:c r="D445" t="n">
        <x:v>3</x:v>
      </x:c>
    </x:row>
    <x:row r="446">
      <x:c r="A446" s="5" t="str">
        <x:v>Attention Difficulties</x:v>
      </x:c>
      <x:c r="B446" s="5" t="str">
        <x:v>Maintaining attention during complex technical configurations or setup tasks can be challenging.</x:v>
      </x:c>
      <x:c r="C446" t="n">
        <x:v>2</x:v>
      </x:c>
      <x:c r="D446" t="n">
        <x:v>1</x:v>
      </x:c>
    </x:row>
    <x:row r="447">
      <x:c r="A447" s="5" t="str">
        <x:v>Attention Difficulties</x:v>
      </x:c>
      <x:c r="B447" s="5" t="str">
        <x:v>When a task requires sustained concentration, focus can become difficult to maintain.</x:v>
      </x:c>
      <x:c r="C447" t="n">
        <x:v>2</x:v>
      </x:c>
      <x:c r="D447" t="n">
        <x:v>1</x:v>
      </x:c>
    </x:row>
    <x:row r="448">
      <x:c r="A448" s="5" t="str">
        <x:v>Attention Difficulties</x:v>
      </x:c>
      <x:c r="B448" s="5" t="str">
        <x:v>Loss of focus can make it easier to miss errors in code or instructions.</x:v>
      </x:c>
      <x:c r="C448" t="n">
        <x:v>3</x:v>
      </x:c>
      <x:c r="D448" t="n">
        <x:v>1</x:v>
      </x:c>
    </x:row>
    <x:row r="449">
      <x:c r="A449" s="5" t="str">
        <x:v>Attention Difficulties</x:v>
      </x:c>
      <x:c r="B449" s="5" t="str">
        <x:v>Following long tutorials or documentation with many details can be difficult.</x:v>
      </x:c>
      <x:c r="C449" t="n">
        <x:v>3</x:v>
      </x:c>
      <x:c r="D449" t="n">
        <x:v>1</x:v>
      </x:c>
    </x:row>
    <x:row r="450">
      <x:c r="A450" s="5" t="str">
        <x:v>Attention Difficulties</x:v>
      </x:c>
      <x:c r="B450" s="5" t="str">
        <x:v>When too much information appears at once, it becomes harder to stay focused.</x:v>
      </x:c>
      <x:c r="C450" t="n">
        <x:v>3</x:v>
      </x:c>
      <x:c r="D450" t="n">
        <x:v>1</x:v>
      </x:c>
    </x:row>
    <x:row r="451">
      <x:c r="A451" s="5" t="str">
        <x:v>Working Memory Limitations</x:v>
      </x:c>
      <x:c r="B451" s="5" t="str">
        <x:v>Following technical specifications that contain many numbers or details can be challenging.</x:v>
      </x:c>
      <x:c r="C451" t="n">
        <x:v>2</x:v>
      </x:c>
      <x:c r="D451" t="n">
        <x:v>1</x:v>
      </x:c>
    </x:row>
    <x:row r="452">
      <x:c r="A452" s="5" t="str">
        <x:v>Working Memory Limitations</x:v>
      </x:c>
      <x:c r="B452" s="5" t="str">
        <x:v>Following step-by-step reasoning or multi-stage logic can be difficult.</x:v>
      </x:c>
      <x:c r="C452" t="n">
        <x:v>2</x:v>
      </x:c>
      <x:c r="D452" t="n">
        <x:v>1</x:v>
      </x:c>
    </x:row>
    <x:row r="453">
      <x:c r="A453" s="5" t="str">
        <x:v>Working Memory Limitations</x:v>
      </x:c>
      <x:c r="B453" s="5" t="str">
        <x:v>Breaking down a large problem into smaller steps before starting a task can be difficult.</x:v>
      </x:c>
      <x:c r="C453" t="n">
        <x:v>2</x:v>
      </x:c>
      <x:c r="D453" t="n">
        <x:v>1</x:v>
      </x:c>
    </x:row>
    <x:row r="454">
      <x:c r="A454" s="5" t="str">
        <x:v>Working Memory Limitations</x:v>
      </x:c>
      <x:c r="B454" s="5" t="str">
        <x:v>In long or complex methods, it is easy to lose track of the logic when the code changes.</x:v>
      </x:c>
      <x:c r="C454" t="n">
        <x:v>1</x:v>
      </x:c>
      <x:c r="D454" t="n">
        <x:v>1</x:v>
      </x:c>
    </x:row>
    <x:row r="455">
      <x:c r="A455" s="5" t="str">
        <x:v>Working Memory Limitations</x:v>
      </x:c>
      <x:c r="B455" s="5" t="str">
        <x:v>When tasks become mentally demanding, it is easy to lose track of what I was doing.</x:v>
      </x:c>
      <x:c r="C455" t="n">
        <x:v>1</x:v>
      </x:c>
      <x:c r="D455" t="n">
        <x:v>0</x:v>
      </x:c>
    </x:row>
    <x:row r="456">
      <x:c r="A456" s="5" t="str">
        <x:v>Working Memory Limitations</x:v>
      </x:c>
      <x:c r="B456" s="5" t="str">
        <x:v>Understanding new material often requires repetition or visual aids.</x:v>
      </x:c>
      <x:c r="C456" t="n">
        <x:v>3</x:v>
      </x:c>
      <x:c r="D456" t="n">
        <x:v>1</x:v>
      </x:c>
    </x:row>
    <x:row r="457">
      <x:c r="A457" s="5" t="str">
        <x:v>Working Memory Limitations</x:v>
      </x:c>
      <x:c r="B457" s="5" t="str">
        <x:v>After a fast verbal explanation, it can be hard to remember all the details.</x:v>
      </x:c>
      <x:c r="C457" t="n">
        <x:v>4</x:v>
      </x:c>
      <x:c r="D457" t="n">
        <x:v>1</x:v>
      </x:c>
    </x:row>
    <x:row r="458">
      <x:c r="A458" s="5" t="str">
        <x:v>Working Memory Limitations</x:v>
      </x:c>
      <x:c r="B458" s="5" t="str">
        <x:v>Starting a task can feel difficult when there is too much information to process at once.</x:v>
      </x:c>
      <x:c r="C458" t="n">
        <x:v>3</x:v>
      </x:c>
      <x:c r="D458" t="n">
        <x:v>1</x:v>
      </x:c>
    </x:row>
    <x:row r="459">
      <x:c r="A459" s="5" t="str">
        <x:v>Working Memory Limitations</x:v>
      </x:c>
      <x:c r="B459" s="5" t="str">
        <x:v>Keeping track of multiple pieces of logic while debugging can lead to slower progress or mistakes.</x:v>
      </x:c>
      <x:c r="C459" t="n">
        <x:v>1</x:v>
      </x:c>
      <x:c r="D459" t="n">
        <x:v>1</x:v>
      </x:c>
    </x:row>
    <x:row r="460">
      <x:c r="A460" s="5" t="str">
        <x:v>Working Memory Limitations</x:v>
      </x:c>
      <x:c r="B460" s="5" t="str">
        <x:v>Tasks that require holding a lot of information in mind can slow down progress.</x:v>
      </x:c>
      <x:c r="C460" t="n">
        <x:v>2</x:v>
      </x:c>
      <x:c r="D460" t="n">
        <x:v>1</x:v>
      </x:c>
    </x:row>
    <x:row r="461">
      <x:c r="A461" s="5" t="str">
        <x:v>Working Memory Limitations</x:v>
      </x:c>
      <x:c r="B461" s="5" t="str">
        <x:v>Learning a new programming language can be harder because there is a lot to remember at once.</x:v>
      </x:c>
      <x:c r="C461" t="n">
        <x:v>0</x:v>
      </x:c>
      <x:c r="D461"/>
    </x:row>
    <x:row r="462">
      <x:c r="A462" s="5" t="str">
        <x:v>Working Memory Limitations</x:v>
      </x:c>
      <x:c r="B462" s="5" t="str">
        <x:v>It is easy to forget information that was just read or seen while working on a task.</x:v>
      </x:c>
      <x:c r="C462" t="n">
        <x:v>2</x:v>
      </x:c>
      <x:c r="D462" t="n">
        <x:v>2</x:v>
      </x:c>
    </x:row>
    <x:row r="463">
      <x:c r="A463" s="5" t="str">
        <x:v>Working Memory Limitations</x:v>
      </x:c>
      <x:c r="B463" s="5" t="str">
        <x:v>When too much information needs to be remembered at once, expressing ideas clearly becomes harder.</x:v>
      </x:c>
      <x:c r="C463" t="n">
        <x:v>2</x:v>
      </x:c>
      <x:c r="D463" t="n">
        <x:v>1</x:v>
      </x:c>
    </x:row>
    <x:row r="464">
      <x:c r="A464" s="5" t="str">
        <x:v>Working Memory Limitations</x:v>
      </x:c>
      <x:c r="B464" s="5" t="str">
        <x:v>Remembering programming syntax, commands, or concepts can require extra effort.</x:v>
      </x:c>
      <x:c r="C464" t="n">
        <x:v>1</x:v>
      </x:c>
      <x:c r="D464" t="n">
        <x:v>1</x:v>
      </x:c>
    </x:row>
    <x:row r="465">
      <x:c r="A465" s="5" t="str">
        <x:v>Working Memory Limitations</x:v>
      </x:c>
      <x:c r="B465" s="5" t="str">
        <x:v>Tracking file paths, directories, or system states across multiple files can be difficult.</x:v>
      </x:c>
      <x:c r="C465" t="n">
        <x:v>0</x:v>
      </x:c>
      <x:c r="D465"/>
    </x:row>
    <x:row r="466">
      <x:c r="A466" s="5" t="str">
        <x:v>Working Memory Limitations</x:v>
      </x:c>
      <x:c r="B466" s="5" t="str">
        <x:v>Turning a mental idea or design into working code can require extra effort.</x:v>
      </x:c>
      <x:c r="C466" t="n">
        <x:v>1</x:v>
      </x:c>
      <x:c r="D466" t="n">
        <x:v>0</x:v>
      </x:c>
    </x:row>
    <x:row r="467">
      <x:c r="A467" s="5" t="str">
        <x:v>Working Memory Limitations</x:v>
      </x:c>
      <x:c r="B467" s="5" t="str">
        <x:v>Remembering several steps in calculations, formulas, or processes can be challenging.</x:v>
      </x:c>
      <x:c r="C467" t="n">
        <x:v>2</x:v>
      </x:c>
      <x:c r="D467" t="n">
        <x:v>1</x:v>
      </x:c>
    </x:row>
    <x:row r="468">
      <x:c r="A468" s="5" t="str">
        <x:v>Planning, Organization, and Time Management</x:v>
      </x:c>
      <x:c r="B468" s="5" t="str">
        <x:v>Extra time is often needed to think through or visualize a solution before beginning to code.</x:v>
      </x:c>
      <x:c r="C468" t="n">
        <x:v>3</x:v>
      </x:c>
      <x:c r="D468" t="n">
        <x:v>2</x:v>
      </x:c>
    </x:row>
    <x:row r="469">
      <x:c r="A469" s="5" t="str">
        <x:v>Planning, Organization, and Time Management</x:v>
      </x:c>
      <x:c r="B469" s="5" t="str">
        <x:v>Organizing tasks and priorities during development work can require extra effort.</x:v>
      </x:c>
      <x:c r="C469" t="n">
        <x:v>2</x:v>
      </x:c>
      <x:c r="D469" t="n">
        <x:v>1</x:v>
      </x:c>
    </x:row>
    <x:row r="470">
      <x:c r="A470" s="5" t="str">
        <x:v>Planning, Organization, and Time Management</x:v>
      </x:c>
      <x:c r="B470" s="5" t="str">
        <x:v>Getting started on a coding task can sometimes take longer than expected.</x:v>
      </x:c>
      <x:c r="C470" t="n">
        <x:v>4</x:v>
      </x:c>
      <x:c r="D470" t="n">
        <x:v>3</x:v>
      </x:c>
    </x:row>
    <x:row r="471">
      <x:c r="A471" s="5" t="str">
        <x:v>Planning, Organization, and Time Management</x:v>
      </x:c>
      <x:c r="B471" s="5" t="str">
        <x:v>Managing several tasks at the same time can be difficult.</x:v>
      </x:c>
      <x:c r="C471" t="n">
        <x:v>2</x:v>
      </x:c>
      <x:c r="D471" t="n">
        <x:v>1</x:v>
      </x:c>
    </x:row>
    <x:row r="472">
      <x:c r="A472" s="5" t="str">
        <x:v>Planning, Organization, and Time Management</x:v>
      </x:c>
      <x:c r="B472" s="5" t="str">
        <x:v>Breaking down a problem and planning the steps before starting a task can be challenging.</x:v>
      </x:c>
      <x:c r="C472" t="n">
        <x:v>1</x:v>
      </x:c>
      <x:c r="D472" t="n">
        <x:v>1</x:v>
      </x:c>
    </x:row>
    <x:row r="473">
      <x:c r="A473" s="5" t="str">
        <x:v>Working Memory Limitations</x:v>
      </x:c>
      <x:c r="B473" s="5" t="str">
        <x:v>When tasks become mentally demanding, it is easy to lose track of what I was doing.</x:v>
      </x:c>
      <x:c r="C473" t="n">
        <x:v>3</x:v>
      </x:c>
      <x:c r="D473" t="n">
        <x:v>2</x:v>
      </x:c>
    </x:row>
    <x:row r="474">
      <x:c r="A474" s="5" t="str">
        <x:v>Working Memory Limitations</x:v>
      </x:c>
      <x:c r="B474" s="5" t="str">
        <x:v>Remembering several steps in calculations, formulas, or processes can be challenging.</x:v>
      </x:c>
      <x:c r="C474" t="n">
        <x:v>4</x:v>
      </x:c>
      <x:c r="D474" t="n">
        <x:v>4</x:v>
      </x:c>
    </x:row>
    <x:row r="475">
      <x:c r="A475" s="5" t="str">
        <x:v>Working Memory Limitations</x:v>
      </x:c>
      <x:c r="B475" s="5" t="str">
        <x:v>Understanding new material often requires repetition or visual aids.</x:v>
      </x:c>
      <x:c r="C475" t="n">
        <x:v>4</x:v>
      </x:c>
      <x:c r="D475" t="n">
        <x:v>4</x:v>
      </x:c>
    </x:row>
    <x:row r="476">
      <x:c r="A476" s="5" t="str">
        <x:v>Working Memory Limitations</x:v>
      </x:c>
      <x:c r="B476" s="5" t="str">
        <x:v>After a fast verbal explanation, it can be hard to remember all the details.</x:v>
      </x:c>
      <x:c r="C476" t="n">
        <x:v>4</x:v>
      </x:c>
      <x:c r="D476" t="n">
        <x:v>4</x:v>
      </x:c>
    </x:row>
    <x:row r="477">
      <x:c r="A477" s="5" t="str">
        <x:v>Working Memory Limitations</x:v>
      </x:c>
      <x:c r="B477" s="5" t="str">
        <x:v>Starting a task can feel difficult when there is too much information to process at once.</x:v>
      </x:c>
      <x:c r="C477" t="n">
        <x:v>4</x:v>
      </x:c>
      <x:c r="D477" t="n">
        <x:v>4</x:v>
      </x:c>
    </x:row>
    <x:row r="478">
      <x:c r="A478" s="5" t="str">
        <x:v>Working Memory Limitations</x:v>
      </x:c>
      <x:c r="B478" s="5" t="str">
        <x:v>Tracking file paths, directories, or system states across multiple files can be difficult.</x:v>
      </x:c>
      <x:c r="C478" t="n">
        <x:v>4</x:v>
      </x:c>
      <x:c r="D478" t="n">
        <x:v>4</x:v>
      </x:c>
    </x:row>
    <x:row r="479">
      <x:c r="A479" s="5" t="str">
        <x:v>Working Memory Limitations</x:v>
      </x:c>
      <x:c r="B479" s="5" t="str">
        <x:v>Remembering programming syntax, commands, or concepts can require extra effort.</x:v>
      </x:c>
      <x:c r="C479" t="n">
        <x:v>3</x:v>
      </x:c>
      <x:c r="D479" t="n">
        <x:v>3</x:v>
      </x:c>
    </x:row>
    <x:row r="480">
      <x:c r="A480" s="5" t="str">
        <x:v>Working Memory Limitations</x:v>
      </x:c>
      <x:c r="B480" s="5" t="str">
        <x:v>Turning a mental idea or design into working code can require extra effort.</x:v>
      </x:c>
      <x:c r="C480" t="n">
        <x:v>3</x:v>
      </x:c>
      <x:c r="D480" t="n">
        <x:v>3</x:v>
      </x:c>
    </x:row>
    <x:row r="481">
      <x:c r="A481" s="5" t="str">
        <x:v>Working Memory Limitations</x:v>
      </x:c>
      <x:c r="B481" s="5" t="str">
        <x:v>Learning a new programming language can be harder because there is a lot to remember at once.</x:v>
      </x:c>
      <x:c r="C481" t="n">
        <x:v>1</x:v>
      </x:c>
      <x:c r="D481" t="n">
        <x:v>2</x:v>
      </x:c>
    </x:row>
    <x:row r="482">
      <x:c r="A482" s="5" t="str">
        <x:v>Working Memory Limitations</x:v>
      </x:c>
      <x:c r="B482" s="5" t="str">
        <x:v>It is easy to forget information that was just read or seen while working on a task.</x:v>
      </x:c>
      <x:c r="C482" t="n">
        <x:v>1</x:v>
      </x:c>
      <x:c r="D482" t="n">
        <x:v>1</x:v>
      </x:c>
    </x:row>
    <x:row r="483">
      <x:c r="A483" s="5" t="str">
        <x:v>Working Memory Limitations</x:v>
      </x:c>
      <x:c r="B483" s="5" t="str">
        <x:v>Tasks that require holding a lot of information in mind can slow down progress.</x:v>
      </x:c>
      <x:c r="C483" t="n">
        <x:v>3</x:v>
      </x:c>
      <x:c r="D483" t="n">
        <x:v>3</x:v>
      </x:c>
    </x:row>
    <x:row r="484">
      <x:c r="A484" s="5" t="str">
        <x:v>Working Memory Limitations</x:v>
      </x:c>
      <x:c r="B484" s="5" t="str">
        <x:v>Breaking down a large problem into smaller steps before starting a task can be difficult.</x:v>
      </x:c>
      <x:c r="C484" t="n">
        <x:v>3</x:v>
      </x:c>
      <x:c r="D484" t="n">
        <x:v>2</x:v>
      </x:c>
    </x:row>
    <x:row r="485">
      <x:c r="A485" s="5" t="str">
        <x:v>Working Memory Limitations</x:v>
      </x:c>
      <x:c r="B485" s="5" t="str">
        <x:v>In long or complex methods, it is easy to lose track of the logic when the code changes.</x:v>
      </x:c>
      <x:c r="C485" t="n">
        <x:v>3</x:v>
      </x:c>
      <x:c r="D485" t="n">
        <x:v>3</x:v>
      </x:c>
    </x:row>
    <x:row r="486">
      <x:c r="A486" s="5" t="str">
        <x:v>Working Memory Limitations</x:v>
      </x:c>
      <x:c r="B486" s="5" t="str">
        <x:v>When too much information needs to be remembered at once, expressing ideas clearly becomes harder.</x:v>
      </x:c>
      <x:c r="C486" t="n">
        <x:v>2</x:v>
      </x:c>
      <x:c r="D486" t="n">
        <x:v>2</x:v>
      </x:c>
    </x:row>
    <x:row r="487">
      <x:c r="A487" s="5" t="str">
        <x:v>Working Memory Limitations</x:v>
      </x:c>
      <x:c r="B487" s="5" t="str">
        <x:v>Following step-by-step reasoning or multi-stage logic can be difficult.</x:v>
      </x:c>
      <x:c r="C487" t="n">
        <x:v>1</x:v>
      </x:c>
      <x:c r="D487" t="n">
        <x:v>1</x:v>
      </x:c>
    </x:row>
    <x:row r="488">
      <x:c r="A488" s="5" t="str">
        <x:v>Working Memory Limitations</x:v>
      </x:c>
      <x:c r="B488" s="5" t="str">
        <x:v>Keeping track of multiple pieces of logic while debugging can lead to slower progress or mistakes.</x:v>
      </x:c>
      <x:c r="C488" t="n">
        <x:v>1</x:v>
      </x:c>
      <x:c r="D488" t="n">
        <x:v>0</x:v>
      </x:c>
    </x:row>
    <x:row r="489">
      <x:c r="A489" s="5" t="str">
        <x:v>Working Memory Limitations</x:v>
      </x:c>
      <x:c r="B489" s="5" t="str">
        <x:v>Following technical specifications that contain many numbers or details can be challenging.</x:v>
      </x:c>
      <x:c r="C489" t="n">
        <x:v>0</x:v>
      </x:c>
      <x:c r="D489"/>
    </x:row>
    <x:row r="490">
      <x:c r="A490" s="5" t="str">
        <x:v>Analytical Thinking &amp; Problem Solving</x:v>
      </x:c>
      <x:c r="B490" s="5" t="str">
        <x:v>Working through problems step by step can sometimes be difficult.</x:v>
      </x:c>
      <x:c r="C490" t="n">
        <x:v>2</x:v>
      </x:c>
      <x:c r="D490" t="n">
        <x:v>2</x:v>
      </x:c>
    </x:row>
    <x:row r="491">
      <x:c r="A491" s="5" t="str">
        <x:v>Analytical Thinking &amp; Problem Solving</x:v>
      </x:c>
      <x:c r="B491" s="5" t="str">
        <x:v>Building and maintaining a clear mental model of how a system works can be challenging.</x:v>
      </x:c>
      <x:c r="C491" t="n">
        <x:v>3</x:v>
      </x:c>
      <x:c r="D491" t="n">
        <x:v>3</x:v>
      </x:c>
    </x:row>
    <x:row r="492">
      <x:c r="A492" s="5" t="str">
        <x:v>Analytical Thinking &amp; Problem Solving</x:v>
      </x:c>
      <x:c r="B492" s="5" t="str">
        <x:v>Reasoning through multi-step logic or algorithms can take additional effort.</x:v>
      </x:c>
      <x:c r="C492" t="n">
        <x:v>2</x:v>
      </x:c>
      <x:c r="D492" t="n">
        <x:v>2</x:v>
      </x:c>
    </x:row>
    <x:row r="493">
      <x:c r="A493" s="5" t="str">
        <x:v>Analytical Thinking &amp; Problem Solving</x:v>
      </x:c>
      <x:c r="B493" s="5" t="str">
        <x:v>Understanding how complex systems or architectures work can take extra time.</x:v>
      </x:c>
      <x:c r="C493" t="n">
        <x:v>3</x:v>
      </x:c>
      <x:c r="D493" t="n">
        <x:v>3</x:v>
      </x:c>
    </x:row>
    <x:row r="494">
      <x:c r="A494" s="5" t="str">
        <x:v>Analytical Thinking &amp; Problem Solving</x:v>
      </x:c>
      <x:c r="B494" s="5" t="str">
        <x:v>In long or complex methods, it can be easy to lose track of the logic.</x:v>
      </x:c>
      <x:c r="C494" t="n">
        <x:v>3</x:v>
      </x:c>
      <x:c r="D494" t="n">
        <x:v>3</x:v>
      </x:c>
    </x:row>
    <x:row r="495">
      <x:c r="A495" s="5" t="str">
        <x:v>Analytical Thinking &amp; Problem Solving</x:v>
      </x:c>
      <x:c r="B495" s="5" t="str">
        <x:v>Understanding how different parts of a system connect when reading source code can be difficult.</x:v>
      </x:c>
      <x:c r="C495" t="n">
        <x:v>4</x:v>
      </x:c>
      <x:c r="D495" t="n">
        <x:v>3</x:v>
      </x:c>
    </x:row>
    <x:row r="496">
      <x:c r="A496" s="5" t="str">
        <x:v>Analytical Thinking &amp; Problem Solving</x:v>
      </x:c>
      <x:c r="B496" s="5" t="str">
        <x:v>Tasks that require very precise logical thinking and careful tracking of steps can be challenging.</x:v>
      </x:c>
      <x:c r="C496" t="n">
        <x:v>2</x:v>
      </x:c>
      <x:c r="D496" t="n">
        <x:v>2</x:v>
      </x:c>
    </x:row>
    <x:row r="497">
      <x:c r="A497" s="5" t="str">
        <x:v>Analytical Thinking &amp; Problem Solving</x:v>
      </x:c>
      <x:c r="B497" s="5" t="str">
        <x:v>Understanding what code is doing just by reading it can require extra effort.</x:v>
      </x:c>
      <x:c r="C497" t="n">
        <x:v>4</x:v>
      </x:c>
      <x:c r="D497" t="n">
        <x:v>4</x:v>
      </x:c>
    </x:row>
    <x:row r="498">
      <x:c r="A498" s="5" t="str">
        <x:v>Analytical Thinking &amp; Problem Solving</x:v>
      </x:c>
      <x:c r="B498" s="5" t="str">
        <x:v>Programming tutorials or learning materials can be hard to follow unless they are simplified.</x:v>
      </x:c>
      <x:c r="C498" t="n">
        <x:v>2</x:v>
      </x:c>
      <x:c r="D498" t="n">
        <x:v>2</x:v>
      </x:c>
    </x:row>
    <x:row r="499">
      <x:c r="A499" s="5" t="str">
        <x:v>Attention Difficulties</x:v>
      </x:c>
      <x:c r="B499" s="5" t="str">
        <x:v>Multiple notifications, conversations, or tasks can make it difficult to maintain attention.</x:v>
      </x:c>
      <x:c r="C499" t="n">
        <x:v>3</x:v>
      </x:c>
      <x:c r="D499" t="n">
        <x:v>2</x:v>
      </x:c>
    </x:row>
    <x:row r="500">
      <x:c r="A500" s="5" t="str">
        <x:v>Attention Difficulties</x:v>
      </x:c>
      <x:c r="B500" s="5" t="str">
        <x:v>When a task requires sustained concentration, focus can become difficult to maintain.</x:v>
      </x:c>
      <x:c r="C500" t="n">
        <x:v>2</x:v>
      </x:c>
      <x:c r="D500" t="n">
        <x:v>3</x:v>
      </x:c>
    </x:row>
    <x:row r="501">
      <x:c r="A501" s="5" t="str">
        <x:v>Attention Difficulties</x:v>
      </x:c>
      <x:c r="B501" s="5" t="str">
        <x:v>Maintaining attention during complex technical configurations or setup tasks can be challenging.</x:v>
      </x:c>
      <x:c r="C501" t="n">
        <x:v>3</x:v>
      </x:c>
      <x:c r="D501" t="n">
        <x:v>3</x:v>
      </x:c>
    </x:row>
    <x:row r="502">
      <x:c r="A502" s="5" t="str">
        <x:v>Attention Difficulties</x:v>
      </x:c>
      <x:c r="B502" s="5" t="str">
        <x:v>Following long tutorials or documentation with many details can be difficult.</x:v>
      </x:c>
      <x:c r="C502" t="n">
        <x:v>3</x:v>
      </x:c>
      <x:c r="D502" t="n">
        <x:v>3</x:v>
      </x:c>
    </x:row>
    <x:row r="503">
      <x:c r="A503" s="5" t="str">
        <x:v>Attention Difficulties</x:v>
      </x:c>
      <x:c r="B503" s="5" t="str">
        <x:v>When too much information appears at once, it becomes harder to stay focused.</x:v>
      </x:c>
      <x:c r="C503" t="n">
        <x:v>3</x:v>
      </x:c>
      <x:c r="D503" t="n">
        <x:v>4</x:v>
      </x:c>
    </x:row>
    <x:row r="504">
      <x:c r="A504" s="5" t="str">
        <x:v>Attention Difficulties</x:v>
      </x:c>
      <x:c r="B504" s="5" t="str">
        <x:v>Small details in code or documentation can sometimes be easy to overlook.</x:v>
      </x:c>
      <x:c r="C504" t="n">
        <x:v>2</x:v>
      </x:c>
      <x:c r="D504" t="n">
        <x:v>4</x:v>
      </x:c>
    </x:row>
    <x:row r="505">
      <x:c r="A505" s="5" t="str">
        <x:v>Attention Difficulties</x:v>
      </x:c>
      <x:c r="B505" s="5" t="str">
        <x:v>Loss of focus can make it easier to miss errors in code or instructions.</x:v>
      </x:c>
      <x:c r="C505" t="n">
        <x:v>2</x:v>
      </x:c>
      <x:c r="D505" t="n">
        <x:v>3</x:v>
      </x:c>
    </x:row>
    <x:row r="506">
      <x:c r="A506" s="5" t="str">
        <x:v>Writing &amp; Spelling Difficulties</x:v>
      </x:c>
      <x:c r="B506" s="5" t="str">
        <x:v>Writing emails, chat messages, or issue descriptions can take extra effort or feel confusing.</x:v>
      </x:c>
      <x:c r="C506" t="n">
        <x:v>4</x:v>
      </x:c>
      <x:c r="D506" t="n">
        <x:v>2</x:v>
      </x:c>
    </x:row>
    <x:row r="507">
      <x:c r="A507" s="5" t="str">
        <x:v>Writing &amp; Spelling Difficulties</x:v>
      </x:c>
      <x:c r="B507" s="5" t="str">
        <x:v>Organizing written notes or explanations so they are easy for others to follow can be challenging.</x:v>
      </x:c>
      <x:c r="C507" t="n">
        <x:v>4</x:v>
      </x:c>
      <x:c r="D507" t="n">
        <x:v>2</x:v>
      </x:c>
    </x:row>
    <x:row r="508">
      <x:c r="A508" s="5" t="str">
        <x:v>Writing &amp; Spelling Difficulties</x:v>
      </x:c>
      <x:c r="B508" s="5" t="str">
        <x:v>Formatting written content so that it is easy to read can require extra effort.</x:v>
      </x:c>
      <x:c r="C508" t="n">
        <x:v>4</x:v>
      </x:c>
      <x:c r="D508" t="n">
        <x:v>1</x:v>
      </x:c>
    </x:row>
    <x:row r="509">
      <x:c r="A509" s="5" t="str">
        <x:v>Writing &amp; Spelling Difficulties</x:v>
      </x:c>
      <x:c r="B509" s="5" t="str">
        <x:v>Putting thoughts into clear written explanations can require extra time.</x:v>
      </x:c>
      <x:c r="C509" t="n">
        <x:v>4</x:v>
      </x:c>
      <x:c r="D509" t="n">
        <x:v>3</x:v>
      </x:c>
    </x:row>
    <x:row r="510">
      <x:c r="A510" s="5" t="str">
        <x:v>Writing &amp; Spelling Difficulties</x:v>
      </x:c>
      <x:c r="B510" s="5" t="str">
        <x:v>It can be difficult to notice and correct spelling mistakes in what I write.</x:v>
      </x:c>
      <x:c r="C510" t="n">
        <x:v>4</x:v>
      </x:c>
      <x:c r="D510" t="n">
        <x:v>4</x:v>
      </x:c>
    </x:row>
    <x:row r="511">
      <x:c r="A511" s="5" t="str">
        <x:v>Writing &amp; Spelling Difficulties</x:v>
      </x:c>
      <x:c r="B511" s="5" t="str">
        <x:v>Writing technical documentation clearly and accurately can be challenging.</x:v>
      </x:c>
      <x:c r="C511" t="n">
        <x:v>4</x:v>
      </x:c>
      <x:c r="D511" t="n">
        <x:v>2</x:v>
      </x:c>
    </x:row>
    <x:row r="512">
      <x:c r="A512" s="5" t="str">
        <x:v>Writing &amp; Spelling Difficulties</x:v>
      </x:c>
      <x:c r="B512" s="5" t="str">
        <x:v>Misspellings in code can lead to inconsistent variable or function names.</x:v>
      </x:c>
      <x:c r="C512" t="n">
        <x:v>4</x:v>
      </x:c>
      <x:c r="D512" t="n">
        <x:v>4</x:v>
      </x:c>
    </x:row>
    <x:row r="513">
      <x:c r="A513" s="5" t="str">
        <x:v>Writing &amp; Spelling Difficulties</x:v>
      </x:c>
      <x:c r="B513" s="5" t="str">
        <x:v>Spelling difficulties can affect how variables, methods, or configuration names are written.</x:v>
      </x:c>
      <x:c r="C513" t="n">
        <x:v>4</x:v>
      </x:c>
      <x:c r="D513" t="n">
        <x:v>4</x:v>
      </x:c>
    </x:row>
    <x:row r="514">
      <x:c r="A514" s="5" t="str">
        <x:v>Writing &amp; Spelling Difficulties</x:v>
      </x:c>
      <x:c r="B514" s="5" t="str">
        <x:v>Concerns about spelling mistakes can sometimes create stress or self-doubt when writing.</x:v>
      </x:c>
      <x:c r="C514" t="n">
        <x:v>4</x:v>
      </x:c>
      <x:c r="D514" t="n">
        <x:v>4</x:v>
      </x:c>
    </x:row>
    <x:row r="515">
      <x:c r="A515" s="5" t="str">
        <x:v>Writing &amp; Spelling Difficulties</x:v>
      </x:c>
      <x:c r="B515" s="5" t="str">
        <x:v>Explaining ideas clearly when writing comments, documentation, or messages can be difficult.</x:v>
      </x:c>
      <x:c r="C515" t="n">
        <x:v>4</x:v>
      </x:c>
      <x:c r="D515" t="n">
        <x:v>2</x:v>
      </x:c>
    </x:row>
    <x:row r="516">
      <x:c r="A516" s="5" t="str">
        <x:v>Writing &amp; Spelling Difficulties</x:v>
      </x:c>
      <x:c r="B516" s="5" t="str">
        <x:v>Typing mistakes can make it harder to produce clean or error-free code.</x:v>
      </x:c>
      <x:c r="C516" t="n">
        <x:v>4</x:v>
      </x:c>
      <x:c r="D516" t="n">
        <x:v>1</x:v>
      </x:c>
    </x:row>
    <x:row r="517">
      <x:c r="A517" s="5" t="str">
        <x:v>Writing &amp; Spelling Difficulties</x:v>
      </x:c>
      <x:c r="B517" s="5" t="str">
        <x:v>Writing with correct spelling often takes longer than expected.</x:v>
      </x:c>
      <x:c r="C517" t="n">
        <x:v>4</x:v>
      </x:c>
      <x:c r="D517" t="n">
        <x:v>1</x:v>
      </x:c>
    </x:row>
    <x:row r="518">
      <x:c r="A518" s="5" t="str">
        <x:v>Reading &amp; Decoding Difficulties</x:v>
      </x:c>
      <x:c r="B518" s="5" t="str">
        <x:v>Written information often takes longer for me to read and understand.</x:v>
      </x:c>
      <x:c r="C518" t="n">
        <x:v>3</x:v>
      </x:c>
      <x:c r="D518" t="n">
        <x:v>2</x:v>
      </x:c>
    </x:row>
    <x:row r="519">
      <x:c r="A519" s="5" t="str">
        <x:v>Reading &amp; Decoding Difficulties</x:v>
      </x:c>
      <x:c r="B519" s="5" t="str">
        <x:v>Small syntax errors are sometimes easy for me to miss when reading code.</x:v>
      </x:c>
      <x:c r="C519" t="n">
        <x:v>4</x:v>
      </x:c>
      <x:c r="D519" t="n">
        <x:v>3</x:v>
      </x:c>
    </x:row>
    <x:row r="520">
      <x:c r="A520" s="5" t="str">
        <x:v>Reading &amp; Decoding Difficulties</x:v>
      </x:c>
      <x:c r="B520" s="5" t="str">
        <x:v>Scanning through code and quickly recognising symbols can sometimes be difficult.</x:v>
      </x:c>
      <x:c r="C520" t="n">
        <x:v>4</x:v>
      </x:c>
      <x:c r="D520" t="n">
        <x:v>1</x:v>
      </x:c>
    </x:row>
    <x:row r="521">
      <x:c r="A521" s="5" t="str">
        <x:v>Reading &amp; Decoding Difficulties</x:v>
      </x:c>
      <x:c r="B521" s="5" t="str">
        <x:v>Reading code line by line can be tiring and easy to lose track of.</x:v>
      </x:c>
      <x:c r="C521" t="n">
        <x:v>4</x:v>
      </x:c>
      <x:c r="D521" t="n">
        <x:v>2</x:v>
      </x:c>
    </x:row>
    <x:row r="522">
      <x:c r="A522" s="5" t="str">
        <x:v>Reading &amp; Decoding Difficulties</x:v>
      </x:c>
      <x:c r="B522" s="5" t="str">
        <x:v>Keeping up with spoken explanations, especially when numbers are mentioned, can be difficult.</x:v>
      </x:c>
      <x:c r="C522" t="n">
        <x:v>2</x:v>
      </x:c>
      <x:c r="D522" t="n">
        <x:v>2</x:v>
      </x:c>
    </x:row>
    <x:row r="523">
      <x:c r="A523" s="5" t="str">
        <x:v>Reading &amp; Decoding Difficulties</x:v>
      </x:c>
      <x:c r="B523" s="5" t="str">
        <x:v>Writing documentation to communicate ideas clearly can be challenging.</x:v>
      </x:c>
      <x:c r="C523" t="n">
        <x:v>4</x:v>
      </x:c>
      <x:c r="D523" t="n">
        <x:v>2</x:v>
      </x:c>
    </x:row>
    <x:row r="524">
      <x:c r="A524" s="5" t="str">
        <x:v>Reading &amp; Decoding Difficulties</x:v>
      </x:c>
      <x:c r="B524" s="5" t="str">
        <x:v>The amount of reading and writing required in software engineering can feel overwhelming.</x:v>
      </x:c>
      <x:c r="C524" t="n">
        <x:v>4</x:v>
      </x:c>
      <x:c r="D524" t="n">
        <x:v>3</x:v>
      </x:c>
    </x:row>
    <x:row r="525">
      <x:c r="A525" s="5" t="str">
        <x:v>Reading &amp; Decoding Difficulties</x:v>
      </x:c>
      <x:c r="B525" s="5" t="str">
        <x:v>Large amounts of structured information can be difficult to process quickly.</x:v>
      </x:c>
      <x:c r="C525" t="n">
        <x:v>4</x:v>
      </x:c>
      <x:c r="D525" t="n">
        <x:v>4</x:v>
      </x:c>
    </x:row>
    <x:row r="526">
      <x:c r="A526" s="5" t="str">
        <x:v>Reading &amp; Decoding Difficulties</x:v>
      </x:c>
      <x:c r="B526" s="5" t="str">
        <x:v>Long variable names made from multiple concatenated words can be difficult to read.</x:v>
      </x:c>
      <x:c r="C526" t="n">
        <x:v>4</x:v>
      </x:c>
      <x:c r="D526" t="n">
        <x:v>4</x:v>
      </x:c>
    </x:row>
    <x:row r="527">
      <x:c r="A527" s="5" t="str">
        <x:v>Reading &amp; Decoding Difficulties</x:v>
      </x:c>
      <x:c r="B527" s="5" t="str">
        <x:v>Multi-step instructions that involve numbers can be hard to follow.</x:v>
      </x:c>
      <x:c r="C527" t="n">
        <x:v>4</x:v>
      </x:c>
      <x:c r="D527" t="n">
        <x:v>2</x:v>
      </x:c>
    </x:row>
    <x:row r="528">
      <x:c r="A528" s="5" t="str">
        <x:v>Reading &amp; Decoding Difficulties</x:v>
      </x:c>
      <x:c r="B528" s="5" t="str">
        <x:v>Tasks sometimes take longer because reading and processing information slows me down.</x:v>
      </x:c>
      <x:c r="C528" t="n">
        <x:v>3</x:v>
      </x:c>
      <x:c r="D528" t="n">
        <x:v>2</x:v>
      </x:c>
    </x:row>
    <x:row r="529">
      <x:c r="A529" s="5" t="str">
        <x:v>Reading &amp; Decoding Difficulties</x:v>
      </x:c>
      <x:c r="B529" s="5" t="str">
        <x:v>Working with unfamiliar or complex code can require extra effort to understand.</x:v>
      </x:c>
      <x:c r="C529" t="n">
        <x:v>4</x:v>
      </x:c>
      <x:c r="D529" t="n">
        <x:v>4</x:v>
      </x:c>
    </x:row>
    <x:row r="530">
      <x:c r="A530" s="5" t="str">
        <x:v>Reading &amp; Decoding Difficulties</x:v>
      </x:c>
      <x:c r="B530" s="5" t="str">
        <x:v>Turning diagrams or visual models into written code can take extra effort.</x:v>
      </x:c>
      <x:c r="C530" t="n">
        <x:v>1</x:v>
      </x:c>
      <x:c r="D530" t="n">
        <x:v>3</x:v>
      </x:c>
    </x:row>
    <x:row r="531">
      <x:c r="A531" s="5" t="str">
        <x:v>Reading &amp; Decoding Difficulties</x:v>
      </x:c>
      <x:c r="B531" s="5" t="str">
        <x:v>When reading unfamiliar text, it can be difficult to recognise the correct spelling of words.</x:v>
      </x:c>
      <x:c r="C531" t="n">
        <x:v>2</x:v>
      </x:c>
      <x:c r="D531" t="n">
        <x:v>4</x:v>
      </x:c>
    </x:row>
    <x:row r="532">
      <x:c r="A532" s="5" t="str">
        <x:v>Reading &amp; Decoding Difficulties</x:v>
      </x:c>
      <x:c r="B532" s="5" t="str">
        <x:v>Reading complex explanations sometimes leads to confusion or misunderstanding.</x:v>
      </x:c>
      <x:c r="C532" t="n">
        <x:v>2</x:v>
      </x:c>
      <x:c r="D532" t="n">
        <x:v>3</x:v>
      </x:c>
    </x:row>
    <x:row r="533">
      <x:c r="A533" s="5" t="str">
        <x:v>Reading &amp; Decoding Difficulties</x:v>
      </x:c>
      <x:c r="B533" s="5" t="str">
        <x:v>Interface text is sometimes misread because of dyslexia.</x:v>
      </x:c>
      <x:c r="C533" t="n">
        <x:v>2</x:v>
      </x:c>
      <x:c r="D533" t="n">
        <x:v>2</x:v>
      </x:c>
    </x:row>
    <x:row r="534">
      <x:c r="A534" s="5" t="str">
        <x:v>Reading &amp; Decoding Difficulties</x:v>
      </x:c>
      <x:c r="B534" s="5" t="str">
        <x:v>Written instructions can be harder to understand than the code itself.</x:v>
      </x:c>
      <x:c r="C534" t="n">
        <x:v>3</x:v>
      </x:c>
      <x:c r="D534" t="n">
        <x:v>2</x:v>
      </x:c>
    </x:row>
    <x:row r="535">
      <x:c r="A535" s="5" t="str">
        <x:v>Reading &amp; Decoding Difficulties</x:v>
      </x:c>
      <x:c r="B535" s="5" t="str">
        <x:v>Timed coding challenges can be difficult because the instructions must be read quickly.</x:v>
      </x:c>
      <x:c r="C535" t="n">
        <x:v>0</x:v>
      </x:c>
      <x:c r="D535"/>
    </x:row>
    <x:row r="536">
      <x:c r="A536" s="5" t="str">
        <x:v>Reading &amp; Decoding Difficulties</x:v>
      </x:c>
      <x:c r="B536" s="5" t="str">
        <x:v>Symbols that look similar or long lines of text can be difficult for me to distinguish.</x:v>
      </x:c>
      <x:c r="C536" t="n">
        <x:v>2</x:v>
      </x:c>
      <x:c r="D536" t="n">
        <x:v>3</x:v>
      </x:c>
    </x:row>
    <x:row r="537">
      <x:c r="A537" s="5" t="str">
        <x:v>Reading &amp; Decoding Difficulties</x:v>
      </x:c>
      <x:c r="B537" s="5" t="str">
        <x:v>Unclear or vague instructions can easily lead to mistakes.</x:v>
      </x:c>
      <x:c r="C537" t="n">
        <x:v>3</x:v>
      </x:c>
      <x:c r="D537" t="n">
        <x:v>3</x:v>
      </x:c>
    </x:row>
    <x:row r="538">
      <x:c r="A538" s="5" t="str">
        <x:v>Reading &amp; Decoding Difficulties</x:v>
      </x:c>
      <x:c r="B538" s="5" t="str">
        <x:v>Long or highly technical documentation, such as API documentation, can be difficult to follow.</x:v>
      </x:c>
      <x:c r="C538" t="n">
        <x:v>3</x:v>
      </x:c>
      <x:c r="D538" t="n">
        <x:v>4</x:v>
      </x:c>
    </x:row>
    <x:row r="539">
      <x:c r="A539" s="5" t="str">
        <x:v>Reading &amp; Decoding Difficulties</x:v>
      </x:c>
      <x:c r="B539" s="5" t="str">
        <x:v>Learning new programming languages can be harder because of the reading load involved.</x:v>
      </x:c>
      <x:c r="C539" t="n">
        <x:v>2</x:v>
      </x:c>
      <x:c r="D539" t="n">
        <x:v>3</x:v>
      </x:c>
    </x:row>
    <x:row r="540">
      <x:c r="A540" s="5" t="str">
        <x:v>Reading &amp; Decoding Difficulties</x:v>
      </x:c>
      <x:c r="B540" s="5" t="str">
        <x:v>Similar characters in SQL or programming languages can sometimes be misread.</x:v>
      </x:c>
      <x:c r="C540" t="n">
        <x:v>0</x:v>
      </x:c>
      <x:c r="D540"/>
    </x:row>
    <x:row r="541">
      <x:c r="A541" s="5" t="str">
        <x:v>Reading &amp; Decoding Difficulties</x:v>
      </x:c>
      <x:c r="B541" s="5" t="str">
        <x:v>Making changes to data structures can be challenging when the code is hard to read.</x:v>
      </x:c>
      <x:c r="C541" t="n">
        <x:v>3</x:v>
      </x:c>
      <x:c r="D541" t="n">
        <x:v>4</x:v>
      </x:c>
    </x:row>
    <x:row r="542">
      <x:c r="A542" s="5" t="str">
        <x:v>Communication &amp; Expression</x:v>
      </x:c>
      <x:c r="B542" s="5" t="str">
        <x:v>Understanding detailed or highly technical explanations can require extra effort.</x:v>
      </x:c>
      <x:c r="C542" t="n">
        <x:v>2</x:v>
      </x:c>
      <x:c r="D542" t="n">
        <x:v>3</x:v>
      </x:c>
    </x:row>
    <x:row r="543">
      <x:c r="A543" s="5" t="str">
        <x:v>Communication &amp; Expression</x:v>
      </x:c>
      <x:c r="B543" s="5" t="str">
        <x:v>Finding the right words to explain technical ideas can sometimes be difficult.</x:v>
      </x:c>
      <x:c r="C543" t="n">
        <x:v>3</x:v>
      </x:c>
      <x:c r="D543" t="n">
        <x:v>3</x:v>
      </x:c>
    </x:row>
    <x:row r="544">
      <x:c r="A544" s="5" t="str">
        <x:v>Communication &amp; Expression</x:v>
      </x:c>
      <x:c r="B544" s="5" t="str">
        <x:v>Explaining visual ideas or mental models to others can be challenging.</x:v>
      </x:c>
      <x:c r="C544" t="n">
        <x:v>2</x:v>
      </x:c>
      <x:c r="D544" t="n">
        <x:v>2</x:v>
      </x:c>
    </x:row>
    <x:row r="545">
      <x:c r="A545" s="5" t="str">
        <x:v>Communication &amp; Expression</x:v>
      </x:c>
      <x:c r="B545" s="5" t="str">
        <x:v>Taking notes during discussions can be difficult when information is shared quickly.</x:v>
      </x:c>
      <x:c r="C545" t="n">
        <x:v>3</x:v>
      </x:c>
      <x:c r="D545" t="n">
        <x:v>4</x:v>
      </x:c>
    </x:row>
    <x:row r="546">
      <x:c r="A546" s="5" t="str">
        <x:v>Communication &amp; Expression</x:v>
      </x:c>
      <x:c r="B546" s="5" t="str">
        <x:v>Organizing thoughts clearly while speaking in conversations can be challenging.</x:v>
      </x:c>
      <x:c r="C546" t="n">
        <x:v>2</x:v>
      </x:c>
      <x:c r="D546" t="n">
        <x:v>1</x:v>
      </x:c>
    </x:row>
    <x:row r="547">
      <x:c r="A547" s="5" t="str">
        <x:v>Communication &amp; Expression</x:v>
      </x:c>
      <x:c r="B547" s="5" t="str">
        <x:v>Explaining processes or ideas step-by-step can be challenging.</x:v>
      </x:c>
      <x:c r="C547" t="n">
        <x:v>3</x:v>
      </x:c>
      <x:c r="D547" t="n">
        <x:v>1</x:v>
      </x:c>
    </x:row>
    <x:row r="548">
      <x:c r="A548" s="5" t="str">
        <x:v>Communication &amp; Expression</x:v>
      </x:c>
      <x:c r="B548" s="5" t="str">
        <x:v>Written communication can sometimes be unclear due to formatting or structure issues.</x:v>
      </x:c>
      <x:c r="C548" t="n">
        <x:v>3</x:v>
      </x:c>
      <x:c r="D548" t="n">
        <x:v>3</x:v>
      </x:c>
    </x:row>
    <x:row r="549">
      <x:c r="A549" s="5" t="str">
        <x:v>Communication &amp; Expression</x:v>
      </x:c>
      <x:c r="B549" s="5" t="str">
        <x:v>When under time pressure, it can be harder to express ideas clearly.</x:v>
      </x:c>
      <x:c r="C549" t="n">
        <x:v>2</x:v>
      </x:c>
      <x:c r="D549" t="n">
        <x:v>4</x:v>
      </x:c>
    </x:row>
    <x:row r="550">
      <x:c r="A550" s="5" t="str">
        <x:v>Communication &amp; Expression</x:v>
      </x:c>
      <x:c r="B550" s="5" t="str">
        <x:v>Explaining ideas in a way that others easily understand can take extra effort.</x:v>
      </x:c>
      <x:c r="C550" t="n">
        <x:v>3</x:v>
      </x:c>
      <x:c r="D550" t="n">
        <x:v>3</x:v>
      </x:c>
    </x:row>
    <x:row r="551">
      <x:c r="A551" s="5" t="str">
        <x:v>Reading &amp; Decoding Difficulties</x:v>
      </x:c>
      <x:c r="B551" s="5" t="str">
        <x:v>Interface text is sometimes misread because of dyslexia.</x:v>
      </x:c>
      <x:c r="C551" t="n">
        <x:v>2</x:v>
      </x:c>
      <x:c r="D551" t="n">
        <x:v>2</x:v>
      </x:c>
    </x:row>
    <x:row r="552">
      <x:c r="A552" s="5" t="str">
        <x:v>Reading &amp; Decoding Difficulties</x:v>
      </x:c>
      <x:c r="B552" s="5" t="str">
        <x:v>Unclear or vague instructions can easily lead to mistakes.</x:v>
      </x:c>
      <x:c r="C552" t="n">
        <x:v>2</x:v>
      </x:c>
      <x:c r="D552" t="n">
        <x:v>2</x:v>
      </x:c>
    </x:row>
    <x:row r="553">
      <x:c r="A553" s="5" t="str">
        <x:v>Reading &amp; Decoding Difficulties</x:v>
      </x:c>
      <x:c r="B553" s="5" t="str">
        <x:v>Keeping up with spoken explanations, especially when numbers are mentioned, can be difficult.</x:v>
      </x:c>
      <x:c r="C553" t="n">
        <x:v>4</x:v>
      </x:c>
      <x:c r="D553" t="n">
        <x:v>3</x:v>
      </x:c>
    </x:row>
    <x:row r="554">
      <x:c r="A554" s="5" t="str">
        <x:v>Reading &amp; Decoding Difficulties</x:v>
      </x:c>
      <x:c r="B554" s="5" t="str">
        <x:v>Written information often takes longer for me to read and understand.</x:v>
      </x:c>
      <x:c r="C554" t="n">
        <x:v>4</x:v>
      </x:c>
      <x:c r="D554" t="n">
        <x:v>4</x:v>
      </x:c>
    </x:row>
    <x:row r="555">
      <x:c r="A555" s="5" t="str">
        <x:v>Reading &amp; Decoding Difficulties</x:v>
      </x:c>
      <x:c r="B555" s="5" t="str">
        <x:v>Large amounts of structured information can be difficult to process quickly.</x:v>
      </x:c>
      <x:c r="C555" t="n">
        <x:v>4</x:v>
      </x:c>
      <x:c r="D555" t="n">
        <x:v>4</x:v>
      </x:c>
    </x:row>
    <x:row r="556">
      <x:c r="A556" s="5" t="str">
        <x:v>Reading &amp; Decoding Difficulties</x:v>
      </x:c>
      <x:c r="B556" s="5" t="str">
        <x:v>Turning diagrams or visual models into written code can take extra effort.</x:v>
      </x:c>
      <x:c r="C556" t="n">
        <x:v>1</x:v>
      </x:c>
      <x:c r="D556" t="n">
        <x:v>0</x:v>
      </x:c>
    </x:row>
    <x:row r="557">
      <x:c r="A557" s="5" t="str">
        <x:v>Reading &amp; Decoding Difficulties</x:v>
      </x:c>
      <x:c r="B557" s="5" t="str">
        <x:v>Writing documentation to communicate ideas clearly can be challenging.</x:v>
      </x:c>
      <x:c r="C557" t="n">
        <x:v>2</x:v>
      </x:c>
      <x:c r="D557" t="n">
        <x:v>1</x:v>
      </x:c>
    </x:row>
    <x:row r="558">
      <x:c r="A558" s="5" t="str">
        <x:v>Reading &amp; Decoding Difficulties</x:v>
      </x:c>
      <x:c r="B558" s="5" t="str">
        <x:v>The amount of reading and writing required in software engineering can feel overwhelming.</x:v>
      </x:c>
      <x:c r="C558" t="n">
        <x:v>2</x:v>
      </x:c>
      <x:c r="D558" t="n">
        <x:v>0</x:v>
      </x:c>
    </x:row>
    <x:row r="559">
      <x:c r="A559" s="5" t="str">
        <x:v>Reading &amp; Decoding Difficulties</x:v>
      </x:c>
      <x:c r="B559" s="5" t="str">
        <x:v>Long or highly technical documentation, such as API documentation, can be difficult to follow.</x:v>
      </x:c>
      <x:c r="C559" t="n">
        <x:v>2</x:v>
      </x:c>
      <x:c r="D559" t="n">
        <x:v>0</x:v>
      </x:c>
    </x:row>
    <x:row r="560">
      <x:c r="A560" s="5" t="str">
        <x:v>Reading &amp; Decoding Difficulties</x:v>
      </x:c>
      <x:c r="B560" s="5" t="str">
        <x:v>Making changes to data structures can be challenging when the code is hard to read.</x:v>
      </x:c>
      <x:c r="C560" t="n">
        <x:v>2</x:v>
      </x:c>
      <x:c r="D560" t="n">
        <x:v>0</x:v>
      </x:c>
    </x:row>
    <x:row r="561">
      <x:c r="A561" s="5" t="str">
        <x:v>Reading &amp; Decoding Difficulties</x:v>
      </x:c>
      <x:c r="B561" s="5" t="str">
        <x:v>Unclear or vague instructions can easily lead to mistakes.</x:v>
      </x:c>
      <x:c r="C561" t="n">
        <x:v>3</x:v>
      </x:c>
      <x:c r="D561" t="n">
        <x:v>3</x:v>
      </x:c>
    </x:row>
    <x:row r="562">
      <x:c r="A562" s="5" t="str">
        <x:v>Reading &amp; Decoding Difficulties</x:v>
      </x:c>
      <x:c r="B562" s="5" t="str">
        <x:v>Keeping up with spoken explanations, especially when numbers are mentioned, can be difficult.</x:v>
      </x:c>
      <x:c r="C562" t="n">
        <x:v>4</x:v>
      </x:c>
      <x:c r="D562" t="n">
        <x:v>2</x:v>
      </x:c>
    </x:row>
    <x:row r="563">
      <x:c r="A563" s="5" t="str">
        <x:v>Reading &amp; Decoding Difficulties</x:v>
      </x:c>
      <x:c r="B563" s="5" t="str">
        <x:v>Turning diagrams or visual models into written code can take extra effort.</x:v>
      </x:c>
      <x:c r="C563" t="n">
        <x:v>0</x:v>
      </x:c>
      <x:c r="D563"/>
    </x:row>
    <x:row r="564">
      <x:c r="A564" s="5" t="str">
        <x:v>Reading &amp; Decoding Difficulties</x:v>
      </x:c>
      <x:c r="B564" s="5" t="str">
        <x:v>Long variable names made from multiple concatenated words can be difficult to read.</x:v>
      </x:c>
      <x:c r="C564" t="n">
        <x:v>0</x:v>
      </x:c>
      <x:c r="D564"/>
    </x:row>
    <x:row r="565">
      <x:c r="A565" s="5" t="str">
        <x:v>Reading &amp; Decoding Difficulties</x:v>
      </x:c>
      <x:c r="B565" s="5" t="str">
        <x:v>Making changes to data structures can be challenging when the code is hard to read.</x:v>
      </x:c>
      <x:c r="C565" t="n">
        <x:v>2</x:v>
      </x:c>
      <x:c r="D565" t="n">
        <x:v>2</x:v>
      </x:c>
    </x:row>
    <x:row r="566">
      <x:c r="A566" s="5" t="str">
        <x:v>Reading &amp; Decoding Difficulties</x:v>
      </x:c>
      <x:c r="B566" s="5" t="str">
        <x:v>Small syntax errors are sometimes easy for me to miss when reading code.</x:v>
      </x:c>
      <x:c r="C566" t="n">
        <x:v>2</x:v>
      </x:c>
      <x:c r="D566" t="n">
        <x:v>3</x:v>
      </x:c>
    </x:row>
    <x:row r="567">
      <x:c r="A567" s="5" t="str">
        <x:v>Reading &amp; Decoding Difficulties</x:v>
      </x:c>
      <x:c r="B567" s="5" t="str">
        <x:v>Similar characters in SQL or programming languages can sometimes be misread.</x:v>
      </x:c>
      <x:c r="C567" t="n">
        <x:v>0</x:v>
      </x:c>
      <x:c r="D567"/>
    </x:row>
    <x:row r="568">
      <x:c r="A568" s="5" t="str">
        <x:v>Reading &amp; Decoding Difficulties</x:v>
      </x:c>
      <x:c r="B568" s="5" t="str">
        <x:v>Tasks sometimes take longer because reading and processing information slows me down.</x:v>
      </x:c>
      <x:c r="C568" t="n">
        <x:v>0</x:v>
      </x:c>
      <x:c r="D568"/>
    </x:row>
    <x:row r="569">
      <x:c r="A569" s="5" t="str">
        <x:v>Reading &amp; Decoding Difficulties</x:v>
      </x:c>
      <x:c r="B569" s="5" t="str">
        <x:v>Learning new programming languages can be harder because of the reading load involved.</x:v>
      </x:c>
      <x:c r="C569" t="n">
        <x:v>0</x:v>
      </x:c>
      <x:c r="D569"/>
    </x:row>
    <x:row r="570">
      <x:c r="A570" s="5" t="str">
        <x:v>Reading &amp; Decoding Difficulties</x:v>
      </x:c>
      <x:c r="B570" s="5" t="str">
        <x:v>Multi-step instructions that involve numbers can be hard to follow.</x:v>
      </x:c>
      <x:c r="C570" t="n">
        <x:v>2</x:v>
      </x:c>
      <x:c r="D570" t="n">
        <x:v>1</x:v>
      </x:c>
    </x:row>
    <x:row r="571">
      <x:c r="A571" s="5" t="str">
        <x:v>Reading &amp; Decoding Difficulties</x:v>
      </x:c>
      <x:c r="B571" s="5" t="str">
        <x:v>Symbols that look similar or long lines of text can be difficult for me to distinguish.</x:v>
      </x:c>
      <x:c r="C571" t="n">
        <x:v>0</x:v>
      </x:c>
      <x:c r="D571"/>
    </x:row>
    <x:row r="572">
      <x:c r="A572" s="5" t="str">
        <x:v>Reading &amp; Decoding Difficulties</x:v>
      </x:c>
      <x:c r="B572" s="5" t="str">
        <x:v>Timed coding challenges can be difficult because the instructions must be read quickly.</x:v>
      </x:c>
      <x:c r="C572" t="n">
        <x:v>4</x:v>
      </x:c>
      <x:c r="D572" t="n">
        <x:v>0</x:v>
      </x:c>
    </x:row>
    <x:row r="573">
      <x:c r="A573" s="5" t="str">
        <x:v>Reading &amp; Decoding Difficulties</x:v>
      </x:c>
      <x:c r="B573" s="5" t="str">
        <x:v>Scanning through code and quickly recognising symbols can sometimes be difficult.</x:v>
      </x:c>
      <x:c r="C573" t="n">
        <x:v>0</x:v>
      </x:c>
      <x:c r="D573"/>
    </x:row>
    <x:row r="574">
      <x:c r="A574" s="5" t="str">
        <x:v>Reading &amp; Decoding Difficulties</x:v>
      </x:c>
      <x:c r="B574" s="5" t="str">
        <x:v>Working with unfamiliar or complex code can require extra effort to understand.</x:v>
      </x:c>
      <x:c r="C574" t="n">
        <x:v>1</x:v>
      </x:c>
      <x:c r="D574" t="n">
        <x:v>0</x:v>
      </x:c>
    </x:row>
    <x:row r="575">
      <x:c r="A575" s="5" t="str">
        <x:v>Reading &amp; Decoding Difficulties</x:v>
      </x:c>
      <x:c r="B575" s="5" t="str">
        <x:v>Written instructions can be harder to understand than the code itself.</x:v>
      </x:c>
      <x:c r="C575" t="n">
        <x:v>3</x:v>
      </x:c>
      <x:c r="D575" t="n">
        <x:v>3</x:v>
      </x:c>
    </x:row>
    <x:row r="576">
      <x:c r="A576" s="5" t="str">
        <x:v>Reading &amp; Decoding Difficulties</x:v>
      </x:c>
      <x:c r="B576" s="5" t="str">
        <x:v>Large amounts of structured information can be difficult to process quickly.</x:v>
      </x:c>
      <x:c r="C576" t="n">
        <x:v>1</x:v>
      </x:c>
      <x:c r="D576" t="n">
        <x:v>1</x:v>
      </x:c>
    </x:row>
    <x:row r="577">
      <x:c r="A577" s="5" t="str">
        <x:v>Reading &amp; Decoding Difficulties</x:v>
      </x:c>
      <x:c r="B577" s="5" t="str">
        <x:v>The amount of reading and writing required in software engineering can feel overwhelming.</x:v>
      </x:c>
      <x:c r="C577" t="n">
        <x:v>0</x:v>
      </x:c>
      <x:c r="D577"/>
    </x:row>
    <x:row r="578">
      <x:c r="A578" s="5" t="str">
        <x:v>Reading &amp; Decoding Difficulties</x:v>
      </x:c>
      <x:c r="B578" s="5" t="str">
        <x:v>Interface text is sometimes misread because of dyslexia.</x:v>
      </x:c>
      <x:c r="C578" t="n">
        <x:v>3</x:v>
      </x:c>
      <x:c r="D578" t="n">
        <x:v>3</x:v>
      </x:c>
    </x:row>
    <x:row r="579">
      <x:c r="A579" s="5" t="str">
        <x:v>Reading &amp; Decoding Difficulties</x:v>
      </x:c>
      <x:c r="B579" s="5" t="str">
        <x:v>When reading unfamiliar text, it can be difficult to recognise the correct spelling of words.</x:v>
      </x:c>
      <x:c r="C579" t="n">
        <x:v>4</x:v>
      </x:c>
      <x:c r="D579" t="n">
        <x:v>0</x:v>
      </x:c>
    </x:row>
    <x:row r="580">
      <x:c r="A580" s="5" t="str">
        <x:v>Reading &amp; Decoding Difficulties</x:v>
      </x:c>
      <x:c r="B580" s="5" t="str">
        <x:v>Long or highly technical documentation, such as API documentation, can be difficult to follow.</x:v>
      </x:c>
      <x:c r="C580" t="n">
        <x:v>2</x:v>
      </x:c>
      <x:c r="D580" t="n">
        <x:v>2</x:v>
      </x:c>
    </x:row>
    <x:row r="581">
      <x:c r="A581" s="5" t="str">
        <x:v>Reading &amp; Decoding Difficulties</x:v>
      </x:c>
      <x:c r="B581" s="5" t="str">
        <x:v>Reading code line by line can be tiring and easy to lose track of.</x:v>
      </x:c>
      <x:c r="C581" t="n">
        <x:v>0</x:v>
      </x:c>
      <x:c r="D581"/>
    </x:row>
    <x:row r="582">
      <x:c r="A582" s="5" t="str">
        <x:v>Reading &amp; Decoding Difficulties</x:v>
      </x:c>
      <x:c r="B582" s="5" t="str">
        <x:v>Writing documentation to communicate ideas clearly can be challenging.</x:v>
      </x:c>
      <x:c r="C582" t="n">
        <x:v>0</x:v>
      </x:c>
      <x:c r="D582"/>
    </x:row>
    <x:row r="583">
      <x:c r="A583" s="5" t="str">
        <x:v>Reading &amp; Decoding Difficulties</x:v>
      </x:c>
      <x:c r="B583" s="5" t="str">
        <x:v>Written information often takes longer for me to read and understand.</x:v>
      </x:c>
      <x:c r="C583" t="n">
        <x:v>3</x:v>
      </x:c>
      <x:c r="D583" t="n">
        <x:v>3</x:v>
      </x:c>
    </x:row>
    <x:row r="584">
      <x:c r="A584" s="5" t="str">
        <x:v>Reading &amp; Decoding Difficulties</x:v>
      </x:c>
      <x:c r="B584" s="5" t="str">
        <x:v>Reading complex explanations sometimes leads to confusion or misunderstanding.</x:v>
      </x:c>
      <x:c r="C584" t="n">
        <x:v>2</x:v>
      </x:c>
      <x:c r="D584" t="n">
        <x:v>3</x:v>
      </x:c>
    </x:row>
    <x:row r="585">
      <x:c r="A585" s="5" t="str">
        <x:v>Analytical Thinking &amp; Problem Solving</x:v>
      </x:c>
      <x:c r="B585" s="5" t="str">
        <x:v>In long or complex methods, it can be easy to lose track of the logic.</x:v>
      </x:c>
      <x:c r="C585" t="n">
        <x:v>1</x:v>
      </x:c>
      <x:c r="D585" t="n">
        <x:v>1</x:v>
      </x:c>
    </x:row>
    <x:row r="586">
      <x:c r="A586" s="5" t="str">
        <x:v>Analytical Thinking &amp; Problem Solving</x:v>
      </x:c>
      <x:c r="B586" s="5" t="str">
        <x:v>Understanding how different parts of a system connect when reading source code can be difficult.</x:v>
      </x:c>
      <x:c r="C586" t="n">
        <x:v>1</x:v>
      </x:c>
      <x:c r="D586" t="n">
        <x:v>0</x:v>
      </x:c>
    </x:row>
    <x:row r="587">
      <x:c r="A587" s="5" t="str">
        <x:v>Analytical Thinking &amp; Problem Solving</x:v>
      </x:c>
      <x:c r="B587" s="5" t="str">
        <x:v>Programming tutorials or learning materials can be hard to follow unless they are simplified.</x:v>
      </x:c>
      <x:c r="C587" t="n">
        <x:v>0</x:v>
      </x:c>
      <x:c r="D587"/>
    </x:row>
    <x:row r="588">
      <x:c r="A588" s="5" t="str">
        <x:v>Analytical Thinking &amp; Problem Solving</x:v>
      </x:c>
      <x:c r="B588" s="5" t="str">
        <x:v>Tasks that require very precise logical thinking and careful tracking of steps can be challenging.</x:v>
      </x:c>
      <x:c r="C588" t="n">
        <x:v>0</x:v>
      </x:c>
      <x:c r="D588"/>
    </x:row>
    <x:row r="589">
      <x:c r="A589" s="5" t="str">
        <x:v>Analytical Thinking &amp; Problem Solving</x:v>
      </x:c>
      <x:c r="B589" s="5" t="str">
        <x:v>Building and maintaining a clear mental model of how a system works can be challenging.</x:v>
      </x:c>
      <x:c r="C589" t="n">
        <x:v>2</x:v>
      </x:c>
      <x:c r="D589" t="n">
        <x:v>2</x:v>
      </x:c>
    </x:row>
    <x:row r="590">
      <x:c r="A590" s="5" t="str">
        <x:v>Analytical Thinking &amp; Problem Solving</x:v>
      </x:c>
      <x:c r="B590" s="5" t="str">
        <x:v>Understanding what code is doing just by reading it can require extra effort.</x:v>
      </x:c>
      <x:c r="C590" t="n">
        <x:v>2</x:v>
      </x:c>
      <x:c r="D590" t="n">
        <x:v>1</x:v>
      </x:c>
    </x:row>
    <x:row r="591">
      <x:c r="A591" s="5" t="str">
        <x:v>Analytical Thinking &amp; Problem Solving</x:v>
      </x:c>
      <x:c r="B591" s="5" t="str">
        <x:v>Reasoning through multi-step logic or algorithms can take additional effort.</x:v>
      </x:c>
      <x:c r="C591" t="n">
        <x:v>1</x:v>
      </x:c>
      <x:c r="D591" t="n">
        <x:v>0</x:v>
      </x:c>
    </x:row>
    <x:row r="592">
      <x:c r="A592" s="5" t="str">
        <x:v>Analytical Thinking &amp; Problem Solving</x:v>
      </x:c>
      <x:c r="B592" s="5" t="str">
        <x:v>Working through problems step by step can sometimes be difficult.</x:v>
      </x:c>
      <x:c r="C592" t="n">
        <x:v>0</x:v>
      </x:c>
      <x:c r="D592"/>
    </x:row>
    <x:row r="593">
      <x:c r="A593" s="5" t="str">
        <x:v>Analytical Thinking &amp; Problem Solving</x:v>
      </x:c>
      <x:c r="B593" s="5" t="str">
        <x:v>Understanding how complex systems or architectures work can take extra time.</x:v>
      </x:c>
      <x:c r="C593" t="n">
        <x:v>0</x:v>
      </x:c>
      <x:c r="D593"/>
    </x:row>
    <x:row r="594">
      <x:c r="A594" s="5" t="str">
        <x:v>Communication &amp; Expression</x:v>
      </x:c>
      <x:c r="B594" s="5" t="str">
        <x:v>Organizing thoughts clearly while speaking in conversations can be challenging.</x:v>
      </x:c>
      <x:c r="C594" t="n">
        <x:v>3</x:v>
      </x:c>
      <x:c r="D594" t="n">
        <x:v>3</x:v>
      </x:c>
    </x:row>
    <x:row r="595">
      <x:c r="A595" s="5" t="str">
        <x:v>Communication &amp; Expression</x:v>
      </x:c>
      <x:c r="B595" s="5" t="str">
        <x:v>Finding the right words to explain technical ideas can sometimes be difficult.</x:v>
      </x:c>
      <x:c r="C595" t="n">
        <x:v>1</x:v>
      </x:c>
      <x:c r="D595" t="n">
        <x:v>0</x:v>
      </x:c>
    </x:row>
    <x:row r="596">
      <x:c r="A596" s="5" t="str">
        <x:v>Communication &amp; Expression</x:v>
      </x:c>
      <x:c r="B596" s="5" t="str">
        <x:v>Explaining ideas in a way that others easily understand can take extra effort.</x:v>
      </x:c>
      <x:c r="C596" t="n">
        <x:v>0</x:v>
      </x:c>
      <x:c r="D596"/>
    </x:row>
    <x:row r="597">
      <x:c r="A597" s="5" t="str">
        <x:v>Communication &amp; Expression</x:v>
      </x:c>
      <x:c r="B597" s="5" t="str">
        <x:v>Explaining processes or ideas step-by-step can be challenging.</x:v>
      </x:c>
      <x:c r="C597" t="n">
        <x:v>0</x:v>
      </x:c>
      <x:c r="D597"/>
    </x:row>
    <x:row r="598">
      <x:c r="A598" s="5" t="str">
        <x:v>Communication &amp; Expression</x:v>
      </x:c>
      <x:c r="B598" s="5" t="str">
        <x:v>When under time pressure, it can be harder to express ideas clearly.</x:v>
      </x:c>
      <x:c r="C598" t="n">
        <x:v>4</x:v>
      </x:c>
      <x:c r="D598" t="n">
        <x:v>4</x:v>
      </x:c>
    </x:row>
    <x:row r="599">
      <x:c r="A599" s="5" t="str">
        <x:v>Communication &amp; Expression</x:v>
      </x:c>
      <x:c r="B599" s="5" t="str">
        <x:v>Understanding detailed or highly technical explanations can require extra effort.</x:v>
      </x:c>
      <x:c r="C599" t="n">
        <x:v>1</x:v>
      </x:c>
      <x:c r="D599" t="n">
        <x:v>0</x:v>
      </x:c>
    </x:row>
    <x:row r="600">
      <x:c r="A600" s="5" t="str">
        <x:v>Communication &amp; Expression</x:v>
      </x:c>
      <x:c r="B600" s="5" t="str">
        <x:v>Written communication can sometimes be unclear due to formatting or structure issues.</x:v>
      </x:c>
      <x:c r="C600" t="n">
        <x:v>3</x:v>
      </x:c>
      <x:c r="D600" t="n">
        <x:v>3</x:v>
      </x:c>
    </x:row>
    <x:row r="601">
      <x:c r="A601" s="5" t="str">
        <x:v>Communication &amp; Expression</x:v>
      </x:c>
      <x:c r="B601" s="5" t="str">
        <x:v>Taking notes during discussions can be difficult when information is shared quickly.</x:v>
      </x:c>
      <x:c r="C601" t="n">
        <x:v>2</x:v>
      </x:c>
      <x:c r="D601" t="n">
        <x:v>1</x:v>
      </x:c>
    </x:row>
    <x:row r="602">
      <x:c r="A602" s="5" t="str">
        <x:v>Communication &amp; Expression</x:v>
      </x:c>
      <x:c r="B602" s="5" t="str">
        <x:v>Explaining visual ideas or mental models to others can be challenging.</x:v>
      </x:c>
      <x:c r="C602" t="n">
        <x:v>0</x:v>
      </x:c>
      <x:c r="D602"/>
    </x:row>
    <x:row r="603">
      <x:c r="A603" s="5" t="str">
        <x:v>Writing &amp; Spelling Difficulties</x:v>
      </x:c>
      <x:c r="B603" s="5" t="str">
        <x:v>Misspellings in code can lead to inconsistent variable or function names.</x:v>
      </x:c>
      <x:c r="C603" t="n">
        <x:v>0</x:v>
      </x:c>
      <x:c r="D603"/>
    </x:row>
    <x:row r="604">
      <x:c r="A604" s="5" t="str">
        <x:v>Writing &amp; Spelling Difficulties</x:v>
      </x:c>
      <x:c r="B604" s="5" t="str">
        <x:v>Organizing written notes or explanations so they are easy for others to follow can be challenging.</x:v>
      </x:c>
      <x:c r="C604" t="n">
        <x:v>0</x:v>
      </x:c>
      <x:c r="D604"/>
    </x:row>
    <x:row r="605">
      <x:c r="A605" s="5" t="str">
        <x:v>Writing &amp; Spelling Difficulties</x:v>
      </x:c>
      <x:c r="B605" s="5" t="str">
        <x:v>Putting thoughts into clear written explanations can require extra time.</x:v>
      </x:c>
      <x:c r="C605" t="n">
        <x:v>4</x:v>
      </x:c>
      <x:c r="D605" t="n">
        <x:v>4</x:v>
      </x:c>
    </x:row>
    <x:row r="606">
      <x:c r="A606" s="5" t="str">
        <x:v>Writing &amp; Spelling Difficulties</x:v>
      </x:c>
      <x:c r="B606" s="5" t="str">
        <x:v>Spelling difficulties can affect how variables, methods, or configuration names are written.</x:v>
      </x:c>
      <x:c r="C606" t="n">
        <x:v>4</x:v>
      </x:c>
      <x:c r="D606" t="n">
        <x:v>4</x:v>
      </x:c>
    </x:row>
    <x:row r="607">
      <x:c r="A607" s="5" t="str">
        <x:v>Writing &amp; Spelling Difficulties</x:v>
      </x:c>
      <x:c r="B607" s="5" t="str">
        <x:v>Formatting written content so that it is easy to read can require extra effort.</x:v>
      </x:c>
      <x:c r="C607" t="n">
        <x:v>0</x:v>
      </x:c>
      <x:c r="D607"/>
    </x:row>
    <x:row r="608">
      <x:c r="A608" s="5" t="str">
        <x:v>Writing &amp; Spelling Difficulties</x:v>
      </x:c>
      <x:c r="B608" s="5" t="str">
        <x:v>Writing emails, chat messages, or issue descriptions can take extra effort or feel confusing.</x:v>
      </x:c>
      <x:c r="C608" t="n">
        <x:v>4</x:v>
      </x:c>
      <x:c r="D608" t="n">
        <x:v>2</x:v>
      </x:c>
    </x:row>
    <x:row r="609">
      <x:c r="A609" s="5" t="str">
        <x:v>Writing &amp; Spelling Difficulties</x:v>
      </x:c>
      <x:c r="B609" s="5" t="str">
        <x:v>Concerns about spelling mistakes can sometimes create stress or self-doubt when writing.</x:v>
      </x:c>
      <x:c r="C609" t="n">
        <x:v>4</x:v>
      </x:c>
      <x:c r="D609" t="n">
        <x:v>4</x:v>
      </x:c>
    </x:row>
    <x:row r="610">
      <x:c r="A610" s="5" t="str">
        <x:v>Writing &amp; Spelling Difficulties</x:v>
      </x:c>
      <x:c r="B610" s="5" t="str">
        <x:v>Typing mistakes can make it harder to produce clean or error-free code.</x:v>
      </x:c>
      <x:c r="C610" t="n">
        <x:v>1</x:v>
      </x:c>
      <x:c r="D610" t="n">
        <x:v>2</x:v>
      </x:c>
    </x:row>
    <x:row r="611">
      <x:c r="A611" s="5" t="str">
        <x:v>Writing &amp; Spelling Difficulties</x:v>
      </x:c>
      <x:c r="B611" s="5" t="str">
        <x:v>Writing technical documentation clearly and accurately can be challenging.</x:v>
      </x:c>
      <x:c r="C611" t="n">
        <x:v>0</x:v>
      </x:c>
      <x:c r="D611"/>
    </x:row>
    <x:row r="612">
      <x:c r="A612" s="5" t="str">
        <x:v>Writing &amp; Spelling Difficulties</x:v>
      </x:c>
      <x:c r="B612" s="5" t="str">
        <x:v>It can be difficult to notice and correct spelling mistakes in what I write.</x:v>
      </x:c>
      <x:c r="C612" t="n">
        <x:v>4</x:v>
      </x:c>
      <x:c r="D612" t="n">
        <x:v>4</x:v>
      </x:c>
    </x:row>
    <x:row r="613">
      <x:c r="A613" s="5" t="str">
        <x:v>Writing &amp; Spelling Difficulties</x:v>
      </x:c>
      <x:c r="B613" s="5" t="str">
        <x:v>Explaining ideas clearly when writing comments, documentation, or messages can be difficult.</x:v>
      </x:c>
      <x:c r="C613" t="n">
        <x:v>0</x:v>
      </x:c>
      <x:c r="D613"/>
    </x:row>
    <x:row r="614">
      <x:c r="A614" s="5" t="str">
        <x:v>Writing &amp; Spelling Difficulties</x:v>
      </x:c>
      <x:c r="B614" s="5" t="str">
        <x:v>Writing with correct spelling often takes longer than expected.</x:v>
      </x:c>
      <x:c r="C614" t="n">
        <x:v>4</x:v>
      </x:c>
      <x:c r="D614" t="n">
        <x:v>4</x:v>
      </x:c>
    </x:row>
    <x:row r="615">
      <x:c r="A615" s="5" t="str">
        <x:v>Working Memory Limitations</x:v>
      </x:c>
      <x:c r="B615" s="5" t="str">
        <x:v>Tasks that require holding a lot of information in mind can slow down progress.</x:v>
      </x:c>
      <x:c r="C615" t="n">
        <x:v>3</x:v>
      </x:c>
      <x:c r="D615" t="n">
        <x:v>2</x:v>
      </x:c>
    </x:row>
    <x:row r="616">
      <x:c r="A616" s="5" t="str">
        <x:v>Working Memory Limitations</x:v>
      </x:c>
      <x:c r="B616" s="5" t="str">
        <x:v>Keeping track of multiple pieces of logic while debugging can lead to slower progress or mistakes.</x:v>
      </x:c>
      <x:c r="C616" t="n">
        <x:v>2</x:v>
      </x:c>
      <x:c r="D616" t="n">
        <x:v>1</x:v>
      </x:c>
    </x:row>
    <x:row r="617">
      <x:c r="A617" s="5" t="str">
        <x:v>Working Memory Limitations</x:v>
      </x:c>
      <x:c r="B617" s="5" t="str">
        <x:v>Remembering programming syntax, commands, or concepts can require extra effort.</x:v>
      </x:c>
      <x:c r="C617" t="n">
        <x:v>2</x:v>
      </x:c>
      <x:c r="D617" t="n">
        <x:v>2</x:v>
      </x:c>
    </x:row>
    <x:row r="618">
      <x:c r="A618" s="5" t="str">
        <x:v>Working Memory Limitations</x:v>
      </x:c>
      <x:c r="B618" s="5" t="str">
        <x:v>Remembering several steps in calculations, formulas, or processes can be challenging.</x:v>
      </x:c>
      <x:c r="C618" t="n">
        <x:v>0</x:v>
      </x:c>
      <x:c r="D618"/>
    </x:row>
    <x:row r="619">
      <x:c r="A619" s="5" t="str">
        <x:v>Working Memory Limitations</x:v>
      </x:c>
      <x:c r="B619" s="5" t="str">
        <x:v>Understanding new material often requires repetition or visual aids.</x:v>
      </x:c>
      <x:c r="C619" t="n">
        <x:v>2</x:v>
      </x:c>
      <x:c r="D619" t="n">
        <x:v>2</x:v>
      </x:c>
    </x:row>
    <x:row r="620">
      <x:c r="A620" s="5" t="str">
        <x:v>Working Memory Limitations</x:v>
      </x:c>
      <x:c r="B620" s="5" t="str">
        <x:v>When too much information needs to be remembered at once, expressing ideas clearly becomes harder.</x:v>
      </x:c>
      <x:c r="C620" t="n">
        <x:v>4</x:v>
      </x:c>
      <x:c r="D620" t="n">
        <x:v>3</x:v>
      </x:c>
    </x:row>
    <x:row r="621">
      <x:c r="A621" s="5" t="str">
        <x:v>Working Memory Limitations</x:v>
      </x:c>
      <x:c r="B621" s="5" t="str">
        <x:v>Tracking file paths, directories, or system states across multiple files can be difficult.</x:v>
      </x:c>
      <x:c r="C621" t="n">
        <x:v>0</x:v>
      </x:c>
      <x:c r="D621"/>
    </x:row>
    <x:row r="622">
      <x:c r="A622" s="5" t="str">
        <x:v>Working Memory Limitations</x:v>
      </x:c>
      <x:c r="B622" s="5" t="str">
        <x:v>Following technical specifications that contain many numbers or details can be challenging.</x:v>
      </x:c>
      <x:c r="C622" t="n">
        <x:v>0</x:v>
      </x:c>
      <x:c r="D622"/>
    </x:row>
    <x:row r="623">
      <x:c r="A623" s="5" t="str">
        <x:v>Working Memory Limitations</x:v>
      </x:c>
      <x:c r="B623" s="5" t="str">
        <x:v>Turning a mental idea or design into working code can require extra effort.</x:v>
      </x:c>
      <x:c r="C623" t="n">
        <x:v>0</x:v>
      </x:c>
      <x:c r="D623"/>
    </x:row>
    <x:row r="624">
      <x:c r="A624" s="5" t="str">
        <x:v>Working Memory Limitations</x:v>
      </x:c>
      <x:c r="B624" s="5" t="str">
        <x:v>Starting a task can feel difficult when there is too much information to process at once.</x:v>
      </x:c>
      <x:c r="C624"/>
      <x:c r="D624"/>
    </x:row>
    <x:row r="625">
      <x:c r="A625" s="5" t="str">
        <x:v>Working Memory Limitations</x:v>
      </x:c>
      <x:c r="B625" s="5" t="str">
        <x:v>After a fast verbal explanation, it can be hard to remember all the details.</x:v>
      </x:c>
      <x:c r="C625" t="n">
        <x:v>2</x:v>
      </x:c>
      <x:c r="D625" t="n">
        <x:v>2</x:v>
      </x:c>
    </x:row>
    <x:row r="626">
      <x:c r="A626" s="5" t="str">
        <x:v>Working Memory Limitations</x:v>
      </x:c>
      <x:c r="B626" s="5" t="str">
        <x:v>In long or complex methods, it is easy to lose track of the logic when the code changes.</x:v>
      </x:c>
      <x:c r="C626" t="n">
        <x:v>0</x:v>
      </x:c>
      <x:c r="D626"/>
    </x:row>
    <x:row r="627">
      <x:c r="A627" s="5" t="str">
        <x:v>Working Memory Limitations</x:v>
      </x:c>
      <x:c r="B627" s="5" t="str">
        <x:v>Learning a new programming language can be harder because there is a lot to remember at once.</x:v>
      </x:c>
      <x:c r="C627" t="n">
        <x:v>0</x:v>
      </x:c>
      <x:c r="D627"/>
    </x:row>
    <x:row r="628">
      <x:c r="A628" s="5" t="str">
        <x:v>Working Memory Limitations</x:v>
      </x:c>
      <x:c r="B628" s="5" t="str">
        <x:v>It is easy to forget information that was just read or seen while working on a task.</x:v>
      </x:c>
      <x:c r="C628" t="n">
        <x:v>3</x:v>
      </x:c>
      <x:c r="D628" t="n">
        <x:v>2</x:v>
      </x:c>
    </x:row>
    <x:row r="629">
      <x:c r="A629" s="5" t="str">
        <x:v>Working Memory Limitations</x:v>
      </x:c>
      <x:c r="B629" s="5" t="str">
        <x:v>When tasks become mentally demanding, it is easy to lose track of what I was doing.</x:v>
      </x:c>
      <x:c r="C629" t="n">
        <x:v>4</x:v>
      </x:c>
      <x:c r="D629" t="n">
        <x:v>3</x:v>
      </x:c>
    </x:row>
    <x:row r="630">
      <x:c r="A630" s="5" t="str">
        <x:v>Working Memory Limitations</x:v>
      </x:c>
      <x:c r="B630" s="5" t="str">
        <x:v>Breaking down a large problem into smaller steps before starting a task can be difficult.</x:v>
      </x:c>
      <x:c r="C630" t="n">
        <x:v>0</x:v>
      </x:c>
      <x:c r="D630"/>
    </x:row>
    <x:row r="631">
      <x:c r="A631" s="5" t="str">
        <x:v>Working Memory Limitations</x:v>
      </x:c>
      <x:c r="B631" s="5" t="str">
        <x:v>Following step-by-step reasoning or multi-stage logic can be difficult.</x:v>
      </x:c>
      <x:c r="C631" t="n">
        <x:v>0</x:v>
      </x:c>
      <x:c r="D631"/>
    </x:row>
    <x:row r="632">
      <x:c r="A632" s="5" t="str">
        <x:v>Planning, Organization, and Time Management</x:v>
      </x:c>
      <x:c r="B632" s="5" t="str">
        <x:v>Breaking down a problem and planning the steps before starting a task can be challenging.</x:v>
      </x:c>
      <x:c r="C632" t="n">
        <x:v>2</x:v>
      </x:c>
      <x:c r="D632" t="n">
        <x:v>2</x:v>
      </x:c>
    </x:row>
    <x:row r="633">
      <x:c r="A633" s="5" t="str">
        <x:v>Planning, Organization, and Time Management</x:v>
      </x:c>
      <x:c r="B633" s="5" t="str">
        <x:v>Extra time is often needed to think through or visualize a solution before beginning to code.</x:v>
      </x:c>
      <x:c r="C633" t="n">
        <x:v>2</x:v>
      </x:c>
      <x:c r="D633" t="n">
        <x:v>1</x:v>
      </x:c>
    </x:row>
    <x:row r="634">
      <x:c r="A634" s="5" t="str">
        <x:v>Planning, Organization, and Time Management</x:v>
      </x:c>
      <x:c r="B634" s="5" t="str">
        <x:v>Getting started on a coding task can sometimes take longer than expected.</x:v>
      </x:c>
      <x:c r="C634" t="n">
        <x:v>0</x:v>
      </x:c>
      <x:c r="D634"/>
    </x:row>
    <x:row r="635">
      <x:c r="A635" s="5" t="str">
        <x:v>Planning, Organization, and Time Management</x:v>
      </x:c>
      <x:c r="B635" s="5" t="str">
        <x:v>Managing several tasks at the same time can be difficult.</x:v>
      </x:c>
      <x:c r="C635" t="n">
        <x:v>0</x:v>
      </x:c>
      <x:c r="D635"/>
    </x:row>
    <x:row r="636">
      <x:c r="A636" s="5" t="str">
        <x:v>Planning, Organization, and Time Management</x:v>
      </x:c>
      <x:c r="B636" s="5" t="str">
        <x:v>Organizing tasks and priorities during development work can require extra effort.</x:v>
      </x:c>
      <x:c r="C636" t="n">
        <x:v>0</x:v>
      </x:c>
      <x:c r="D636"/>
    </x:row>
    <x:row r="637">
      <x:c r="A637" s="5" t="str">
        <x:v>Attention Difficulties</x:v>
      </x:c>
      <x:c r="B637" s="5" t="str">
        <x:v>Multiple notifications, conversations, or tasks can make it difficult to maintain attention.</x:v>
      </x:c>
      <x:c r="C637" t="n">
        <x:v>4</x:v>
      </x:c>
      <x:c r="D637" t="n">
        <x:v>4</x:v>
      </x:c>
    </x:row>
    <x:row r="638">
      <x:c r="A638" s="5" t="str">
        <x:v>Attention Difficulties</x:v>
      </x:c>
      <x:c r="B638" s="5" t="str">
        <x:v>Loss of focus can make it easier to miss errors in code or instructions.</x:v>
      </x:c>
      <x:c r="C638" t="n">
        <x:v>4</x:v>
      </x:c>
      <x:c r="D638" t="n">
        <x:v>3</x:v>
      </x:c>
    </x:row>
    <x:row r="639">
      <x:c r="A639" s="5" t="str">
        <x:v>Attention Difficulties</x:v>
      </x:c>
      <x:c r="B639" s="5" t="str">
        <x:v>Small details in code or documentation can sometimes be easy to overlook.</x:v>
      </x:c>
      <x:c r="C639" t="n">
        <x:v>3</x:v>
      </x:c>
      <x:c r="D639" t="n">
        <x:v>3</x:v>
      </x:c>
    </x:row>
    <x:row r="640">
      <x:c r="A640" s="5" t="str">
        <x:v>Attention Difficulties</x:v>
      </x:c>
      <x:c r="B640" s="5" t="str">
        <x:v>Maintaining attention during complex technical configurations or setup tasks can be challenging.</x:v>
      </x:c>
      <x:c r="C640" t="n">
        <x:v>4</x:v>
      </x:c>
      <x:c r="D640" t="n">
        <x:v>4</x:v>
      </x:c>
    </x:row>
    <x:row r="641">
      <x:c r="A641" s="5" t="str">
        <x:v>Attention Difficulties</x:v>
      </x:c>
      <x:c r="B641" s="5" t="str">
        <x:v>Following long tutorials or documentation with many details can be difficult.</x:v>
      </x:c>
      <x:c r="C641" t="n">
        <x:v>4</x:v>
      </x:c>
      <x:c r="D641" t="n">
        <x:v>4</x:v>
      </x:c>
    </x:row>
    <x:row r="642">
      <x:c r="A642" s="5" t="str">
        <x:v>Attention Difficulties</x:v>
      </x:c>
      <x:c r="B642" s="5" t="str">
        <x:v>When a task requires sustained concentration, focus can become difficult to maintain.</x:v>
      </x:c>
      <x:c r="C642" t="n">
        <x:v>0</x:v>
      </x:c>
      <x:c r="D642"/>
    </x:row>
    <x:row r="643">
      <x:c r="A643" s="5" t="str">
        <x:v>Attention Difficulties</x:v>
      </x:c>
      <x:c r="B643" s="5" t="str">
        <x:v>When too much information appears at once, it becomes harder to stay focused.</x:v>
      </x:c>
      <x:c r="C643" t="n">
        <x:v>2</x:v>
      </x:c>
      <x:c r="D643" t="n">
        <x:v>2</x:v>
      </x:c>
    </x:row>
    <x:row r="644">
      <x:c r="A644" s="5" t="str">
        <x:v>Planning, Organization, and Time Management</x:v>
      </x:c>
      <x:c r="B644" s="5" t="str">
        <x:v>Extra time is often needed to think through or visualize a solution before beginning to code.</x:v>
      </x:c>
      <x:c r="C644" t="n">
        <x:v>2</x:v>
      </x:c>
      <x:c r="D644" t="n">
        <x:v>2</x:v>
      </x:c>
    </x:row>
    <x:row r="645">
      <x:c r="A645" s="5" t="str">
        <x:v>Planning, Organization, and Time Management</x:v>
      </x:c>
      <x:c r="B645" s="5" t="str">
        <x:v>Organizing tasks and priorities during development work can require extra effort.</x:v>
      </x:c>
      <x:c r="C645" t="n">
        <x:v>2</x:v>
      </x:c>
      <x:c r="D645" t="n">
        <x:v>2</x:v>
      </x:c>
    </x:row>
    <x:row r="646">
      <x:c r="A646" s="5" t="str">
        <x:v>Planning, Organization, and Time Management</x:v>
      </x:c>
      <x:c r="B646" s="5" t="str">
        <x:v>Managing several tasks at the same time can be difficult.</x:v>
      </x:c>
      <x:c r="C646" t="n">
        <x:v>2</x:v>
      </x:c>
      <x:c r="D646" t="n">
        <x:v>2</x:v>
      </x:c>
    </x:row>
    <x:row r="647">
      <x:c r="A647" s="5" t="str">
        <x:v>Planning, Organization, and Time Management</x:v>
      </x:c>
      <x:c r="B647" s="5" t="str">
        <x:v>Breaking down a problem and planning the steps before starting a task can be challenging.</x:v>
      </x:c>
      <x:c r="C647" t="n">
        <x:v>2</x:v>
      </x:c>
      <x:c r="D647" t="n">
        <x:v>2</x:v>
      </x:c>
    </x:row>
    <x:row r="648">
      <x:c r="A648" s="5" t="str">
        <x:v>Planning, Organization, and Time Management</x:v>
      </x:c>
      <x:c r="B648" s="5" t="str">
        <x:v>Getting started on a coding task can sometimes take longer than expected.</x:v>
      </x:c>
      <x:c r="C648" t="n">
        <x:v>2</x:v>
      </x:c>
      <x:c r="D648" t="n">
        <x:v>2</x:v>
      </x:c>
    </x:row>
    <x:row r="649">
      <x:c r="A649" s="5" t="str">
        <x:v>Attention Difficulties</x:v>
      </x:c>
      <x:c r="B649" s="5" t="str">
        <x:v>When a task requires sustained concentration, focus can become difficult to maintain.</x:v>
      </x:c>
      <x:c r="C649" t="n">
        <x:v>2</x:v>
      </x:c>
      <x:c r="D649" t="n">
        <x:v>2</x:v>
      </x:c>
    </x:row>
    <x:row r="650">
      <x:c r="A650" s="5" t="str">
        <x:v>Attention Difficulties</x:v>
      </x:c>
      <x:c r="B650" s="5" t="str">
        <x:v>Small details in code or documentation can sometimes be easy to overlook.</x:v>
      </x:c>
      <x:c r="C650" t="n">
        <x:v>2</x:v>
      </x:c>
      <x:c r="D650" t="n">
        <x:v>2</x:v>
      </x:c>
    </x:row>
    <x:row r="651">
      <x:c r="A651" s="5" t="str">
        <x:v>Attention Difficulties</x:v>
      </x:c>
      <x:c r="B651" s="5" t="str">
        <x:v>Multiple notifications, conversations, or tasks can make it difficult to maintain attention.</x:v>
      </x:c>
      <x:c r="C651" t="n">
        <x:v>3</x:v>
      </x:c>
      <x:c r="D651" t="n">
        <x:v>3</x:v>
      </x:c>
    </x:row>
    <x:row r="652">
      <x:c r="A652" s="5" t="str">
        <x:v>Attention Difficulties</x:v>
      </x:c>
      <x:c r="B652" s="5" t="str">
        <x:v>Maintaining attention during complex technical configurations or setup tasks can be challenging.</x:v>
      </x:c>
      <x:c r="C652" t="n">
        <x:v>2</x:v>
      </x:c>
      <x:c r="D652" t="n">
        <x:v>2</x:v>
      </x:c>
    </x:row>
    <x:row r="653">
      <x:c r="A653" s="5" t="str">
        <x:v>Writing &amp; Spelling Difficulties</x:v>
      </x:c>
      <x:c r="B653" s="5" t="str">
        <x:v>Explaining ideas clearly when writing comments, documentation, or messages can be difficult.</x:v>
      </x:c>
      <x:c r="C653" t="n">
        <x:v>0</x:v>
      </x:c>
      <x:c r="D653"/>
    </x:row>
    <x:row r="654">
      <x:c r="A654" s="5" t="str">
        <x:v>Writing &amp; Spelling Difficulties</x:v>
      </x:c>
      <x:c r="B654" s="5" t="str">
        <x:v>Organizing written notes or explanations so they are easy for others to follow can be challenging.</x:v>
      </x:c>
      <x:c r="C654" t="n">
        <x:v>1</x:v>
      </x:c>
      <x:c r="D654" t="n">
        <x:v>0</x:v>
      </x:c>
    </x:row>
    <x:row r="655">
      <x:c r="A655" s="5" t="str">
        <x:v>Writing &amp; Spelling Difficulties</x:v>
      </x:c>
      <x:c r="B655" s="5" t="str">
        <x:v>Putting thoughts into clear written explanations can require extra time.</x:v>
      </x:c>
      <x:c r="C655" t="n">
        <x:v>2</x:v>
      </x:c>
      <x:c r="D655" t="n">
        <x:v>2</x:v>
      </x:c>
    </x:row>
    <x:row r="656">
      <x:c r="A656" s="5" t="str">
        <x:v>Writing &amp; Spelling Difficulties</x:v>
      </x:c>
      <x:c r="B656" s="5" t="str">
        <x:v>Formatting written content so that it is easy to read can require extra effort.</x:v>
      </x:c>
      <x:c r="C656" t="n">
        <x:v>1</x:v>
      </x:c>
      <x:c r="D656" t="n">
        <x:v>0</x:v>
      </x:c>
    </x:row>
    <x:row r="657">
      <x:c r="A657" s="5" t="str">
        <x:v>Writing &amp; Spelling Difficulties</x:v>
      </x:c>
      <x:c r="B657" s="5" t="str">
        <x:v>Typing mistakes can make it harder to produce clean or error-free code.</x:v>
      </x:c>
      <x:c r="C657" t="n">
        <x:v>0</x:v>
      </x:c>
      <x:c r="D657"/>
    </x:row>
    <x:row r="658">
      <x:c r="A658" s="5" t="str">
        <x:v>Writing &amp; Spelling Difficulties</x:v>
      </x:c>
      <x:c r="B658" s="5" t="str">
        <x:v>It can be difficult to notice and correct spelling mistakes in what I write.</x:v>
      </x:c>
      <x:c r="C658" t="n">
        <x:v>0</x:v>
      </x:c>
      <x:c r="D658"/>
    </x:row>
    <x:row r="659">
      <x:c r="A659" s="5" t="str">
        <x:v>Writing &amp; Spelling Difficulties</x:v>
      </x:c>
      <x:c r="B659" s="5" t="str">
        <x:v>Spelling difficulties can affect how variables, methods, or configuration names are written.</x:v>
      </x:c>
      <x:c r="C659" t="n">
        <x:v>0</x:v>
      </x:c>
      <x:c r="D659"/>
    </x:row>
    <x:row r="660">
      <x:c r="A660" s="5" t="str">
        <x:v>Writing &amp; Spelling Difficulties</x:v>
      </x:c>
      <x:c r="B660" s="5" t="str">
        <x:v>Writing with correct spelling often takes longer than expected.</x:v>
      </x:c>
      <x:c r="C660" t="n">
        <x:v>0</x:v>
      </x:c>
      <x:c r="D660"/>
    </x:row>
    <x:row r="661">
      <x:c r="A661" s="5" t="str">
        <x:v>Writing &amp; Spelling Difficulties</x:v>
      </x:c>
      <x:c r="B661" s="5" t="str">
        <x:v>Writing emails, chat messages, or issue descriptions can take extra effort or feel confusing.</x:v>
      </x:c>
      <x:c r="C661" t="n">
        <x:v>0</x:v>
      </x:c>
      <x:c r="D661"/>
    </x:row>
    <x:row r="662">
      <x:c r="A662" s="5" t="str">
        <x:v>Writing &amp; Spelling Difficulties</x:v>
      </x:c>
      <x:c r="B662" s="5" t="str">
        <x:v>Misspellings in code can lead to inconsistent variable or function names.</x:v>
      </x:c>
      <x:c r="C662" t="n">
        <x:v>0</x:v>
      </x:c>
      <x:c r="D662"/>
    </x:row>
    <x:row r="663">
      <x:c r="A663" s="5" t="str">
        <x:v>Writing &amp; Spelling Difficulties</x:v>
      </x:c>
      <x:c r="B663" s="5" t="str">
        <x:v>Concerns about spelling mistakes can sometimes create stress or self-doubt when writing.</x:v>
      </x:c>
      <x:c r="C663" t="n">
        <x:v>2</x:v>
      </x:c>
      <x:c r="D663" t="n">
        <x:v>1</x:v>
      </x:c>
    </x:row>
    <x:row r="664">
      <x:c r="A664" s="5" t="str">
        <x:v>Writing &amp; Spelling Difficulties</x:v>
      </x:c>
      <x:c r="B664" s="5" t="str">
        <x:v>Writing technical documentation clearly and accurately can be challenging.</x:v>
      </x:c>
      <x:c r="C664" t="n">
        <x:v>2</x:v>
      </x:c>
      <x:c r="D664" t="n">
        <x:v>2</x:v>
      </x:c>
    </x:row>
    <x:row r="665">
      <x:c r="A665" s="5" t="str">
        <x:v>Communication &amp; Expression</x:v>
      </x:c>
      <x:c r="B665" s="5" t="str">
        <x:v>Organizing thoughts clearly while speaking in conversations can be challenging.</x:v>
      </x:c>
      <x:c r="C665" t="n">
        <x:v>3</x:v>
      </x:c>
      <x:c r="D665" t="n">
        <x:v>3</x:v>
      </x:c>
    </x:row>
    <x:row r="666">
      <x:c r="A666" s="5" t="str">
        <x:v>Communication &amp; Expression</x:v>
      </x:c>
      <x:c r="B666" s="5" t="str">
        <x:v>When under time pressure, it can be harder to express ideas clearly.</x:v>
      </x:c>
      <x:c r="C666" t="n">
        <x:v>3</x:v>
      </x:c>
      <x:c r="D666" t="n">
        <x:v>2</x:v>
      </x:c>
    </x:row>
    <x:row r="667">
      <x:c r="A667" s="5" t="str">
        <x:v>Attention Difficulties</x:v>
      </x:c>
      <x:c r="B667" s="5" t="str">
        <x:v>Loss of focus can make it easier to miss errors in code or instructions.</x:v>
      </x:c>
      <x:c r="C667" t="n">
        <x:v>3</x:v>
      </x:c>
      <x:c r="D667" t="n">
        <x:v>2</x:v>
      </x:c>
    </x:row>
    <x:row r="668">
      <x:c r="A668" s="5" t="str">
        <x:v>Communication &amp; Expression</x:v>
      </x:c>
      <x:c r="B668" s="5" t="str">
        <x:v>Explaining visual ideas or mental models to others can be challenging.</x:v>
      </x:c>
      <x:c r="C668" t="n">
        <x:v>3</x:v>
      </x:c>
      <x:c r="D668" t="n">
        <x:v>3</x:v>
      </x:c>
    </x:row>
    <x:row r="669">
      <x:c r="A669" s="5" t="str">
        <x:v>Communication &amp; Expression</x:v>
      </x:c>
      <x:c r="B669" s="5" t="str">
        <x:v>Taking notes during discussions can be difficult when information is shared quickly.</x:v>
      </x:c>
      <x:c r="C669" t="n">
        <x:v>1</x:v>
      </x:c>
      <x:c r="D669" t="n">
        <x:v>0</x:v>
      </x:c>
    </x:row>
    <x:row r="670">
      <x:c r="A670" s="5" t="str">
        <x:v>Attention Difficulties</x:v>
      </x:c>
      <x:c r="B670" s="5" t="str">
        <x:v>Following long tutorials or documentation with many details can be difficult.</x:v>
      </x:c>
      <x:c r="C670" t="n">
        <x:v>3</x:v>
      </x:c>
      <x:c r="D670" t="n">
        <x:v>3</x:v>
      </x:c>
    </x:row>
    <x:row r="671">
      <x:c r="A671" s="5" t="str">
        <x:v>Communication &amp; Expression</x:v>
      </x:c>
      <x:c r="B671" s="5" t="str">
        <x:v>Finding the right words to explain technical ideas can sometimes be difficult.</x:v>
      </x:c>
      <x:c r="C671" t="n">
        <x:v>3</x:v>
      </x:c>
      <x:c r="D671" t="n">
        <x:v>2</x:v>
      </x:c>
    </x:row>
    <x:row r="672">
      <x:c r="A672" s="5" t="str">
        <x:v>Communication &amp; Expression</x:v>
      </x:c>
      <x:c r="B672" s="5" t="str">
        <x:v>Explaining processes or ideas step-by-step can be challenging.</x:v>
      </x:c>
      <x:c r="C672" t="n">
        <x:v>2</x:v>
      </x:c>
      <x:c r="D672" t="n">
        <x:v>2</x:v>
      </x:c>
    </x:row>
    <x:row r="673">
      <x:c r="A673" s="5" t="str">
        <x:v>Communication &amp; Expression</x:v>
      </x:c>
      <x:c r="B673" s="5" t="str">
        <x:v>Written communication can sometimes be unclear due to formatting or structure issues.</x:v>
      </x:c>
      <x:c r="C673" t="n">
        <x:v>1</x:v>
      </x:c>
      <x:c r="D673" t="n">
        <x:v>0</x:v>
      </x:c>
    </x:row>
    <x:row r="674">
      <x:c r="A674" s="5" t="str">
        <x:v>Communication &amp; Expression</x:v>
      </x:c>
      <x:c r="B674" s="5" t="str">
        <x:v>Understanding detailed or highly technical explanations can require extra effort.</x:v>
      </x:c>
      <x:c r="C674" t="n">
        <x:v>2</x:v>
      </x:c>
      <x:c r="D674" t="n">
        <x:v>3</x:v>
      </x:c>
    </x:row>
    <x:row r="675">
      <x:c r="A675" s="5" t="str">
        <x:v>Analytical Thinking &amp; Problem Solving</x:v>
      </x:c>
      <x:c r="B675" s="5" t="str">
        <x:v>Working through problems step by step can sometimes be difficult.</x:v>
      </x:c>
      <x:c r="C675" t="n">
        <x:v>2</x:v>
      </x:c>
      <x:c r="D675" t="n">
        <x:v>1</x:v>
      </x:c>
    </x:row>
    <x:row r="676">
      <x:c r="A676" s="5" t="str">
        <x:v>Analytical Thinking &amp; Problem Solving</x:v>
      </x:c>
      <x:c r="B676" s="5" t="str">
        <x:v>Programming tutorials or learning materials can be hard to follow unless they are simplified.</x:v>
      </x:c>
      <x:c r="C676" t="n">
        <x:v>2</x:v>
      </x:c>
      <x:c r="D676" t="n">
        <x:v>1</x:v>
      </x:c>
    </x:row>
    <x:row r="677">
      <x:c r="A677" s="5" t="str">
        <x:v>Analytical Thinking &amp; Problem Solving</x:v>
      </x:c>
      <x:c r="B677" s="5" t="str">
        <x:v>In long or complex methods, it can be easy to lose track of the logic.</x:v>
      </x:c>
      <x:c r="C677" t="n">
        <x:v>3</x:v>
      </x:c>
      <x:c r="D677" t="n">
        <x:v>1</x:v>
      </x:c>
    </x:row>
    <x:row r="678">
      <x:c r="A678" s="5" t="str">
        <x:v>Analytical Thinking &amp; Problem Solving</x:v>
      </x:c>
      <x:c r="B678" s="5" t="str">
        <x:v>Building and maintaining a clear mental model of how a system works can be challenging.</x:v>
      </x:c>
      <x:c r="C678" t="n">
        <x:v>0</x:v>
      </x:c>
      <x:c r="D678"/>
    </x:row>
    <x:row r="679">
      <x:c r="A679" s="5" t="str">
        <x:v>Analytical Thinking &amp; Problem Solving</x:v>
      </x:c>
      <x:c r="B679" s="5" t="str">
        <x:v>Tasks that require very precise logical thinking and careful tracking of steps can be challenging.</x:v>
      </x:c>
      <x:c r="C679" t="n">
        <x:v>1</x:v>
      </x:c>
      <x:c r="D679" t="n">
        <x:v>0</x:v>
      </x:c>
    </x:row>
    <x:row r="680">
      <x:c r="A680" s="5" t="str">
        <x:v>Analytical Thinking &amp; Problem Solving</x:v>
      </x:c>
      <x:c r="B680" s="5" t="str">
        <x:v>Understanding what code is doing just by reading it can require extra effort.</x:v>
      </x:c>
      <x:c r="C680" t="n">
        <x:v>2</x:v>
      </x:c>
      <x:c r="D680" t="n">
        <x:v>1</x:v>
      </x:c>
    </x:row>
    <x:row r="681">
      <x:c r="A681" s="5" t="str">
        <x:v>Analytical Thinking &amp; Problem Solving</x:v>
      </x:c>
      <x:c r="B681" s="5" t="str">
        <x:v>Reasoning through multi-step logic or algorithms can take additional effort.</x:v>
      </x:c>
      <x:c r="C681" t="n">
        <x:v>2</x:v>
      </x:c>
      <x:c r="D681" t="n">
        <x:v>2</x:v>
      </x:c>
    </x:row>
    <x:row r="682">
      <x:c r="A682" s="5" t="str">
        <x:v>Analytical Thinking &amp; Problem Solving</x:v>
      </x:c>
      <x:c r="B682" s="5" t="str">
        <x:v>Understanding how complex systems or architectures work can take extra time.</x:v>
      </x:c>
      <x:c r="C682" t="n">
        <x:v>0</x:v>
      </x:c>
      <x:c r="D682"/>
    </x:row>
    <x:row r="683">
      <x:c r="A683" s="5" t="str">
        <x:v>Analytical Thinking &amp; Problem Solving</x:v>
      </x:c>
      <x:c r="B683" s="5" t="str">
        <x:v>Understanding how different parts of a system connect when reading source code can be difficult.</x:v>
      </x:c>
      <x:c r="C683" t="n">
        <x:v>0</x:v>
      </x:c>
      <x:c r="D683"/>
    </x:row>
    <x:row r="684">
      <x:c r="A684" s="5" t="str">
        <x:v>Working Memory Limitations</x:v>
      </x:c>
      <x:c r="B684" s="5" t="str">
        <x:v>After a fast verbal explanation, it can be hard to remember all the details.</x:v>
      </x:c>
      <x:c r="C684" t="n">
        <x:v>4</x:v>
      </x:c>
      <x:c r="D684" t="n">
        <x:v>3</x:v>
      </x:c>
    </x:row>
    <x:row r="685">
      <x:c r="A685" s="5" t="str">
        <x:v>Working Memory Limitations</x:v>
      </x:c>
      <x:c r="B685" s="5" t="str">
        <x:v>Tracking file paths, directories, or system states across multiple files can be difficult.</x:v>
      </x:c>
      <x:c r="C685" t="n">
        <x:v>4</x:v>
      </x:c>
      <x:c r="D685" t="n">
        <x:v>3</x:v>
      </x:c>
    </x:row>
    <x:row r="686">
      <x:c r="A686" s="5" t="str">
        <x:v>Working Memory Limitations</x:v>
      </x:c>
      <x:c r="B686" s="5" t="str">
        <x:v>Keeping track of multiple pieces of logic while debugging can lead to slower progress or mistakes.</x:v>
      </x:c>
      <x:c r="C686" t="n">
        <x:v>2</x:v>
      </x:c>
      <x:c r="D686" t="n">
        <x:v>2</x:v>
      </x:c>
    </x:row>
    <x:row r="687">
      <x:c r="A687" s="5" t="str">
        <x:v>Working Memory Limitations</x:v>
      </x:c>
      <x:c r="B687" s="5" t="str">
        <x:v>Following step-by-step reasoning or multi-stage logic can be difficult.</x:v>
      </x:c>
      <x:c r="C687" t="n">
        <x:v>2</x:v>
      </x:c>
      <x:c r="D687" t="n">
        <x:v>1</x:v>
      </x:c>
    </x:row>
    <x:row r="688">
      <x:c r="A688" s="5" t="str">
        <x:v>Working Memory Limitations</x:v>
      </x:c>
      <x:c r="B688" s="5" t="str">
        <x:v>Learning a new programming language can be harder because there is a lot to remember at once.</x:v>
      </x:c>
      <x:c r="C688" t="n">
        <x:v>4</x:v>
      </x:c>
      <x:c r="D688" t="n">
        <x:v>4</x:v>
      </x:c>
    </x:row>
    <x:row r="689">
      <x:c r="A689" s="5" t="str">
        <x:v>Working Memory Limitations</x:v>
      </x:c>
      <x:c r="B689" s="5" t="str">
        <x:v>Following technical specifications that contain many numbers or details can be challenging.</x:v>
      </x:c>
      <x:c r="C689" t="n">
        <x:v>2</x:v>
      </x:c>
      <x:c r="D689" t="n">
        <x:v>1</x:v>
      </x:c>
    </x:row>
    <x:row r="690">
      <x:c r="A690" s="5" t="str">
        <x:v>Working Memory Limitations</x:v>
      </x:c>
      <x:c r="B690" s="5" t="str">
        <x:v>When tasks become mentally demanding, it is easy to lose track of what I was doing.</x:v>
      </x:c>
      <x:c r="C690" t="n">
        <x:v>2</x:v>
      </x:c>
      <x:c r="D690" t="n">
        <x:v>2</x:v>
      </x:c>
    </x:row>
    <x:row r="691">
      <x:c r="A691" s="5" t="str">
        <x:v>Working Memory Limitations</x:v>
      </x:c>
      <x:c r="B691" s="5" t="str">
        <x:v>Tasks that require holding a lot of information in mind can slow down progress.</x:v>
      </x:c>
      <x:c r="C691" t="n">
        <x:v>3</x:v>
      </x:c>
      <x:c r="D691" t="n">
        <x:v>2</x:v>
      </x:c>
    </x:row>
    <x:row r="692">
      <x:c r="A692" s="5" t="str">
        <x:v>Working Memory Limitations</x:v>
      </x:c>
      <x:c r="B692" s="5" t="str">
        <x:v>Starting a task can feel difficult when there is too much information to process at once.</x:v>
      </x:c>
      <x:c r="C692" t="n">
        <x:v>3</x:v>
      </x:c>
      <x:c r="D692" t="n">
        <x:v>2</x:v>
      </x:c>
    </x:row>
    <x:row r="693">
      <x:c r="A693" s="5" t="str">
        <x:v>Working Memory Limitations</x:v>
      </x:c>
      <x:c r="B693" s="5" t="str">
        <x:v>Remembering several steps in calculations, formulas, or processes can be challenging.</x:v>
      </x:c>
      <x:c r="C693" t="n">
        <x:v>3</x:v>
      </x:c>
      <x:c r="D693" t="n">
        <x:v>2</x:v>
      </x:c>
    </x:row>
    <x:row r="694">
      <x:c r="A694" s="5" t="str">
        <x:v>Working Memory Limitations</x:v>
      </x:c>
      <x:c r="B694" s="5" t="str">
        <x:v>In long or complex methods, it is easy to lose track of the logic when the code changes.</x:v>
      </x:c>
      <x:c r="C694" t="n">
        <x:v>2</x:v>
      </x:c>
      <x:c r="D694" t="n">
        <x:v>2</x:v>
      </x:c>
    </x:row>
    <x:row r="695">
      <x:c r="A695" s="5" t="str">
        <x:v>Working Memory Limitations</x:v>
      </x:c>
      <x:c r="B695" s="5" t="str">
        <x:v>Remembering programming syntax, commands, or concepts can require extra effort.</x:v>
      </x:c>
      <x:c r="C695" t="n">
        <x:v>2</x:v>
      </x:c>
      <x:c r="D695" t="n">
        <x:v>2</x:v>
      </x:c>
    </x:row>
    <x:row r="696">
      <x:c r="A696" s="5" t="str">
        <x:v>Working Memory Limitations</x:v>
      </x:c>
      <x:c r="B696" s="5" t="str">
        <x:v>Understanding new material often requires repetition or visual aids.</x:v>
      </x:c>
      <x:c r="C696" t="n">
        <x:v>4</x:v>
      </x:c>
      <x:c r="D696" t="n">
        <x:v>4</x:v>
      </x:c>
    </x:row>
    <x:row r="697">
      <x:c r="A697" s="5" t="str">
        <x:v>Working Memory Limitations</x:v>
      </x:c>
      <x:c r="B697" s="5" t="str">
        <x:v>Turning a mental idea or design into working code can require extra effort.</x:v>
      </x:c>
      <x:c r="C697" t="n">
        <x:v>2</x:v>
      </x:c>
      <x:c r="D697" t="n">
        <x:v>2</x:v>
      </x:c>
    </x:row>
    <x:row r="698">
      <x:c r="A698" s="5" t="str">
        <x:v>Working Memory Limitations</x:v>
      </x:c>
      <x:c r="B698" s="5" t="str">
        <x:v>It is easy to forget information that was just read or seen while working on a task.</x:v>
      </x:c>
      <x:c r="C698" t="n">
        <x:v>3</x:v>
      </x:c>
      <x:c r="D698" t="n">
        <x:v>2</x:v>
      </x:c>
    </x:row>
    <x:row r="699">
      <x:c r="A699" s="5" t="str">
        <x:v>Working Memory Limitations</x:v>
      </x:c>
      <x:c r="B699" s="5" t="str">
        <x:v>When too much information needs to be remembered at once, expressing ideas clearly becomes harder.</x:v>
      </x:c>
      <x:c r="C699" t="n">
        <x:v>3</x:v>
      </x:c>
      <x:c r="D699" t="n">
        <x:v>2</x:v>
      </x:c>
    </x:row>
    <x:row r="700">
      <x:c r="A700" s="5" t="str">
        <x:v>Working Memory Limitations</x:v>
      </x:c>
      <x:c r="B700" s="5" t="str">
        <x:v>Breaking down a large problem into smaller steps before starting a task can be difficult.</x:v>
      </x:c>
      <x:c r="C700" t="n">
        <x:v>1</x:v>
      </x:c>
      <x:c r="D700" t="n">
        <x:v>1</x:v>
      </x:c>
    </x:row>
    <x:row r="701">
      <x:c r="A701" s="5" t="str">
        <x:v>Reading &amp; Decoding Difficulties</x:v>
      </x:c>
      <x:c r="B701" s="5" t="str">
        <x:v>Reading complex explanations sometimes leads to confusion or misunderstanding.</x:v>
      </x:c>
      <x:c r="C701" t="n">
        <x:v>3</x:v>
      </x:c>
      <x:c r="D701" t="n">
        <x:v>3</x:v>
      </x:c>
    </x:row>
    <x:row r="702">
      <x:c r="A702" s="5" t="str">
        <x:v>Reading &amp; Decoding Difficulties</x:v>
      </x:c>
      <x:c r="B702" s="5" t="str">
        <x:v>Turning diagrams or visual models into written code can take extra effort.</x:v>
      </x:c>
      <x:c r="C702" t="n">
        <x:v>2</x:v>
      </x:c>
      <x:c r="D702" t="n">
        <x:v>1</x:v>
      </x:c>
    </x:row>
    <x:row r="703">
      <x:c r="A703" s="5" t="str">
        <x:v>Reading &amp; Decoding Difficulties</x:v>
      </x:c>
      <x:c r="B703" s="5" t="str">
        <x:v>Keeping up with spoken explanations, especially when numbers are mentioned, can be difficult.</x:v>
      </x:c>
      <x:c r="C703" t="n">
        <x:v>3</x:v>
      </x:c>
      <x:c r="D703" t="n">
        <x:v>3</x:v>
      </x:c>
    </x:row>
    <x:row r="704">
      <x:c r="A704" s="5" t="str">
        <x:v>Reading &amp; Decoding Difficulties</x:v>
      </x:c>
      <x:c r="B704" s="5" t="str">
        <x:v>Reading code line by line can be tiring and easy to lose track of.</x:v>
      </x:c>
      <x:c r="C704" t="n">
        <x:v>2</x:v>
      </x:c>
      <x:c r="D704" t="n">
        <x:v>2</x:v>
      </x:c>
    </x:row>
    <x:row r="705">
      <x:c r="A705" s="5" t="str">
        <x:v>Reading &amp; Decoding Difficulties</x:v>
      </x:c>
      <x:c r="B705" s="5" t="str">
        <x:v>Timed coding challenges can be difficult because the instructions must be read quickly.</x:v>
      </x:c>
      <x:c r="C705" t="n">
        <x:v>4</x:v>
      </x:c>
      <x:c r="D705" t="n">
        <x:v>3</x:v>
      </x:c>
    </x:row>
    <x:row r="706">
      <x:c r="A706" s="5" t="str">
        <x:v>Reading &amp; Decoding Difficulties</x:v>
      </x:c>
      <x:c r="B706" s="5" t="str">
        <x:v>The amount of reading and writing required in software engineering can feel overwhelming.</x:v>
      </x:c>
      <x:c r="C706" t="n">
        <x:v>2</x:v>
      </x:c>
      <x:c r="D706" t="n">
        <x:v>2</x:v>
      </x:c>
    </x:row>
    <x:row r="707">
      <x:c r="A707" s="5" t="str">
        <x:v>Reading &amp; Decoding Difficulties</x:v>
      </x:c>
      <x:c r="B707" s="5" t="str">
        <x:v>Small syntax errors are sometimes easy for me to miss when reading code.</x:v>
      </x:c>
      <x:c r="C707" t="n">
        <x:v>2</x:v>
      </x:c>
      <x:c r="D707" t="n">
        <x:v>1</x:v>
      </x:c>
    </x:row>
    <x:row r="708">
      <x:c r="A708" s="5" t="str">
        <x:v>Reading &amp; Decoding Difficulties</x:v>
      </x:c>
      <x:c r="B708" s="5" t="str">
        <x:v>Multi-step instructions that involve numbers can be hard to follow.</x:v>
      </x:c>
      <x:c r="C708" t="n">
        <x:v>1</x:v>
      </x:c>
      <x:c r="D708" t="n">
        <x:v>0</x:v>
      </x:c>
    </x:row>
    <x:row r="709">
      <x:c r="A709" s="5" t="str">
        <x:v>Reading &amp; Decoding Difficulties</x:v>
      </x:c>
      <x:c r="B709" s="5" t="str">
        <x:v>When reading unfamiliar text, it can be difficult to recognise the correct spelling of words.</x:v>
      </x:c>
      <x:c r="C709" t="n">
        <x:v>1</x:v>
      </x:c>
      <x:c r="D709" t="n">
        <x:v>0</x:v>
      </x:c>
    </x:row>
    <x:row r="710">
      <x:c r="A710" s="5" t="str">
        <x:v>Reading &amp; Decoding Difficulties</x:v>
      </x:c>
      <x:c r="B710" s="5" t="str">
        <x:v>Large amounts of structured information can be difficult to process quickly.</x:v>
      </x:c>
      <x:c r="C710" t="n">
        <x:v>2</x:v>
      </x:c>
      <x:c r="D710" t="n">
        <x:v>1</x:v>
      </x:c>
    </x:row>
    <x:row r="711">
      <x:c r="A711" s="5" t="str">
        <x:v>Reading &amp; Decoding Difficulties</x:v>
      </x:c>
      <x:c r="B711" s="5" t="str">
        <x:v>Making changes to data structures can be challenging when the code is hard to read.</x:v>
      </x:c>
      <x:c r="C711" t="n">
        <x:v>2</x:v>
      </x:c>
      <x:c r="D711" t="n">
        <x:v>1</x:v>
      </x:c>
    </x:row>
    <x:row r="712">
      <x:c r="A712" s="5" t="str">
        <x:v>Reading &amp; Decoding Difficulties</x:v>
      </x:c>
      <x:c r="B712" s="5" t="str">
        <x:v>Written information often takes longer for me to read and understand.</x:v>
      </x:c>
      <x:c r="C712" t="n">
        <x:v>3</x:v>
      </x:c>
      <x:c r="D712" t="n">
        <x:v>3</x:v>
      </x:c>
    </x:row>
    <x:row r="713">
      <x:c r="A713" s="5" t="str">
        <x:v>Reading &amp; Decoding Difficulties</x:v>
      </x:c>
      <x:c r="B713" s="5" t="str">
        <x:v>Long or highly technical documentation, such as API documentation, can be difficult to follow.</x:v>
      </x:c>
      <x:c r="C713" t="n">
        <x:v>2</x:v>
      </x:c>
      <x:c r="D713" t="n">
        <x:v>2</x:v>
      </x:c>
    </x:row>
    <x:row r="714">
      <x:c r="A714" s="5" t="str">
        <x:v>Reading &amp; Decoding Difficulties</x:v>
      </x:c>
      <x:c r="B714" s="5" t="str">
        <x:v>Turning diagrams or visual models into written code can take extra effort.</x:v>
      </x:c>
      <x:c r="C714" t="n">
        <x:v>3</x:v>
      </x:c>
      <x:c r="D714" t="n">
        <x:v>1</x:v>
      </x:c>
    </x:row>
    <x:row r="715">
      <x:c r="A715" s="5" t="str">
        <x:v>Reading &amp; Decoding Difficulties</x:v>
      </x:c>
      <x:c r="B715" s="5" t="str">
        <x:v>Working with unfamiliar or complex code can require extra effort to understand.</x:v>
      </x:c>
      <x:c r="C715" t="n">
        <x:v>3</x:v>
      </x:c>
      <x:c r="D715" t="n">
        <x:v>2</x:v>
      </x:c>
    </x:row>
    <x:row r="716">
      <x:c r="A716" s="5" t="str">
        <x:v>Reading &amp; Decoding Difficulties</x:v>
      </x:c>
      <x:c r="B716" s="5" t="str">
        <x:v>Large amounts of structured information can be difficult to process quickly.</x:v>
      </x:c>
      <x:c r="C716" t="n">
        <x:v>2</x:v>
      </x:c>
      <x:c r="D716" t="n">
        <x:v>1</x:v>
      </x:c>
    </x:row>
    <x:row r="717">
      <x:c r="A717" s="5" t="str">
        <x:v>Reading &amp; Decoding Difficulties</x:v>
      </x:c>
      <x:c r="B717" s="5" t="str">
        <x:v>Learning new programming languages can be harder because of the reading load involved.</x:v>
      </x:c>
      <x:c r="C717" t="n">
        <x:v>3</x:v>
      </x:c>
      <x:c r="D717" t="n">
        <x:v>2</x:v>
      </x:c>
    </x:row>
    <x:row r="718">
      <x:c r="A718" s="5" t="str">
        <x:v>Reading &amp; Decoding Difficulties</x:v>
      </x:c>
      <x:c r="B718" s="5" t="str">
        <x:v>Writing documentation to communicate ideas clearly can be challenging.</x:v>
      </x:c>
      <x:c r="C718" t="n">
        <x:v>4</x:v>
      </x:c>
      <x:c r="D718" t="n">
        <x:v>3</x:v>
      </x:c>
    </x:row>
    <x:row r="719">
      <x:c r="A719" s="5" t="str">
        <x:v>Reading &amp; Decoding Difficulties</x:v>
      </x:c>
      <x:c r="B719" s="5" t="str">
        <x:v>Interface text is sometimes misread because of dyslexia.</x:v>
      </x:c>
      <x:c r="C719" t="n">
        <x:v>2</x:v>
      </x:c>
      <x:c r="D719" t="n">
        <x:v>1</x:v>
      </x:c>
    </x:row>
    <x:row r="720">
      <x:c r="A720" s="5" t="str">
        <x:v>Reading &amp; Decoding Difficulties</x:v>
      </x:c>
      <x:c r="B720" s="5" t="str">
        <x:v>Written instructions can be harder to understand than the code itself.</x:v>
      </x:c>
      <x:c r="C720" t="n">
        <x:v>3</x:v>
      </x:c>
      <x:c r="D720" t="n">
        <x:v>3</x:v>
      </x:c>
    </x:row>
    <x:row r="721">
      <x:c r="A721" s="5" t="str">
        <x:v>Reading &amp; Decoding Difficulties</x:v>
      </x:c>
      <x:c r="B721" s="5" t="str">
        <x:v>Multi-step instructions that involve numbers can be hard to follow.</x:v>
      </x:c>
      <x:c r="C721" t="n">
        <x:v>1</x:v>
      </x:c>
      <x:c r="D721" t="n">
        <x:v>1</x:v>
      </x:c>
    </x:row>
    <x:row r="722">
      <x:c r="A722" s="5" t="str">
        <x:v>Reading &amp; Decoding Difficulties</x:v>
      </x:c>
      <x:c r="B722" s="5" t="str">
        <x:v>Reading code line by line can be tiring and easy to lose track of.</x:v>
      </x:c>
      <x:c r="C722" t="n">
        <x:v>3</x:v>
      </x:c>
      <x:c r="D722" t="n">
        <x:v>2</x:v>
      </x:c>
    </x:row>
    <x:row r="723">
      <x:c r="A723" s="5" t="str">
        <x:v>Reading &amp; Decoding Difficulties</x:v>
      </x:c>
      <x:c r="B723" s="5" t="str">
        <x:v>The amount of reading and writing required in software engineering can feel overwhelming.</x:v>
      </x:c>
      <x:c r="C723" t="n">
        <x:v>2</x:v>
      </x:c>
      <x:c r="D723" t="n">
        <x:v>2</x:v>
      </x:c>
    </x:row>
    <x:row r="724">
      <x:c r="A724" s="5" t="str">
        <x:v>Reading &amp; Decoding Difficulties</x:v>
      </x:c>
      <x:c r="B724" s="5" t="str">
        <x:v>Written information often takes longer for me to read and understand.</x:v>
      </x:c>
      <x:c r="C724" t="n">
        <x:v>3</x:v>
      </x:c>
      <x:c r="D724" t="n">
        <x:v>1</x:v>
      </x:c>
    </x:row>
    <x:row r="725">
      <x:c r="A725" s="5" t="str">
        <x:v>Reading &amp; Decoding Difficulties</x:v>
      </x:c>
      <x:c r="B725" s="5" t="str">
        <x:v>Tasks sometimes take longer because reading and processing information slows me down.</x:v>
      </x:c>
      <x:c r="C725" t="n">
        <x:v>4</x:v>
      </x:c>
      <x:c r="D725" t="n">
        <x:v>2</x:v>
      </x:c>
    </x:row>
    <x:row r="726">
      <x:c r="A726" s="5" t="str">
        <x:v>Reading &amp; Decoding Difficulties</x:v>
      </x:c>
      <x:c r="B726" s="5" t="str">
        <x:v>Similar characters in SQL or programming languages can sometimes be misread.</x:v>
      </x:c>
      <x:c r="C726" t="n">
        <x:v>4</x:v>
      </x:c>
      <x:c r="D726" t="n">
        <x:v>2</x:v>
      </x:c>
    </x:row>
    <x:row r="727">
      <x:c r="A727" s="5" t="str">
        <x:v>Reading &amp; Decoding Difficulties</x:v>
      </x:c>
      <x:c r="B727" s="5" t="str">
        <x:v>Unclear or vague instructions can easily lead to mistakes.</x:v>
      </x:c>
      <x:c r="C727" t="n">
        <x:v>3</x:v>
      </x:c>
      <x:c r="D727" t="n">
        <x:v>2</x:v>
      </x:c>
    </x:row>
    <x:row r="728">
      <x:c r="A728" s="5" t="str">
        <x:v>Reading &amp; Decoding Difficulties</x:v>
      </x:c>
      <x:c r="B728" s="5" t="str">
        <x:v>Long variable names made from multiple concatenated words can be difficult to read.</x:v>
      </x:c>
      <x:c r="C728" t="n">
        <x:v>1</x:v>
      </x:c>
      <x:c r="D728" t="n">
        <x:v>0</x:v>
      </x:c>
    </x:row>
    <x:row r="729">
      <x:c r="A729" s="5" t="str">
        <x:v>Reading &amp; Decoding Difficulties</x:v>
      </x:c>
      <x:c r="B729" s="5" t="str">
        <x:v>Making changes to data structures can be challenging when the code is hard to read.</x:v>
      </x:c>
      <x:c r="C729" t="n">
        <x:v>2</x:v>
      </x:c>
      <x:c r="D729" t="n">
        <x:v>1</x:v>
      </x:c>
    </x:row>
    <x:row r="730">
      <x:c r="A730" s="5" t="str">
        <x:v>Reading &amp; Decoding Difficulties</x:v>
      </x:c>
      <x:c r="B730" s="5" t="str">
        <x:v>Scanning through code and quickly recognising symbols can sometimes be difficult.</x:v>
      </x:c>
      <x:c r="C730" t="n">
        <x:v>4</x:v>
      </x:c>
      <x:c r="D730" t="n">
        <x:v>3</x:v>
      </x:c>
    </x:row>
    <x:row r="731">
      <x:c r="A731" s="5" t="str">
        <x:v>Reading &amp; Decoding Difficulties</x:v>
      </x:c>
      <x:c r="B731" s="5" t="str">
        <x:v>Small syntax errors are sometimes easy for me to miss when reading code.</x:v>
      </x:c>
      <x:c r="C731" t="n">
        <x:v>4</x:v>
      </x:c>
      <x:c r="D731" t="n">
        <x:v>4</x:v>
      </x:c>
    </x:row>
    <x:row r="732">
      <x:c r="A732" s="5" t="str">
        <x:v>Reading &amp; Decoding Difficulties</x:v>
      </x:c>
      <x:c r="B732" s="5" t="str">
        <x:v>Symbols that look similar or long lines of text can be difficult for me to distinguish.</x:v>
      </x:c>
      <x:c r="C732" t="n">
        <x:v>4</x:v>
      </x:c>
      <x:c r="D732" t="n">
        <x:v>3</x:v>
      </x:c>
    </x:row>
    <x:row r="733">
      <x:c r="A733" s="5" t="str">
        <x:v>Reading &amp; Decoding Difficulties</x:v>
      </x:c>
      <x:c r="B733" s="5" t="str">
        <x:v>Reading complex explanations sometimes leads to confusion or misunderstanding.</x:v>
      </x:c>
      <x:c r="C733" t="n">
        <x:v>3</x:v>
      </x:c>
      <x:c r="D733" t="n">
        <x:v>2</x:v>
      </x:c>
    </x:row>
    <x:row r="734">
      <x:c r="A734" s="5" t="str">
        <x:v>Reading &amp; Decoding Difficulties</x:v>
      </x:c>
      <x:c r="B734" s="5" t="str">
        <x:v>Keeping up with spoken explanations, especially when numbers are mentioned, can be difficult.</x:v>
      </x:c>
      <x:c r="C734" t="n">
        <x:v>2</x:v>
      </x:c>
      <x:c r="D734" t="n">
        <x:v>2</x:v>
      </x:c>
    </x:row>
    <x:row r="735">
      <x:c r="A735" s="5" t="str">
        <x:v>Analytical Thinking &amp; Problem Solving</x:v>
      </x:c>
      <x:c r="B735" s="5" t="str">
        <x:v>Reasoning through multi-step logic or algorithms can take additional effort.</x:v>
      </x:c>
      <x:c r="C735" t="n">
        <x:v>2</x:v>
      </x:c>
      <x:c r="D735" t="n">
        <x:v>2</x:v>
      </x:c>
    </x:row>
    <x:row r="736">
      <x:c r="A736" s="5" t="str">
        <x:v>Analytical Thinking &amp; Problem Solving</x:v>
      </x:c>
      <x:c r="B736" s="5" t="str">
        <x:v>Understanding how complex systems or architectures work can take extra time.</x:v>
      </x:c>
      <x:c r="C736" t="n">
        <x:v>1</x:v>
      </x:c>
      <x:c r="D736" t="n">
        <x:v>0</x:v>
      </x:c>
    </x:row>
    <x:row r="737">
      <x:c r="A737" s="5" t="str">
        <x:v>Analytical Thinking &amp; Problem Solving</x:v>
      </x:c>
      <x:c r="B737" s="5" t="str">
        <x:v>Programming tutorials or learning materials can be hard to follow unless they are simplified.</x:v>
      </x:c>
      <x:c r="C737" t="n">
        <x:v>1</x:v>
      </x:c>
      <x:c r="D737" t="n">
        <x:v>1</x:v>
      </x:c>
    </x:row>
    <x:row r="738">
      <x:c r="A738" s="5" t="str">
        <x:v>Analytical Thinking &amp; Problem Solving</x:v>
      </x:c>
      <x:c r="B738" s="5" t="str">
        <x:v>Understanding how different parts of a system connect when reading source code can be difficult.</x:v>
      </x:c>
      <x:c r="C738" t="n">
        <x:v>1</x:v>
      </x:c>
      <x:c r="D738" t="n">
        <x:v>0</x:v>
      </x:c>
    </x:row>
    <x:row r="739">
      <x:c r="A739" s="5" t="str">
        <x:v>Analytical Thinking &amp; Problem Solving</x:v>
      </x:c>
      <x:c r="B739" s="5" t="str">
        <x:v>In long or complex methods, it can be easy to lose track of the logic.</x:v>
      </x:c>
      <x:c r="C739" t="n">
        <x:v>4</x:v>
      </x:c>
      <x:c r="D739" t="n">
        <x:v>4</x:v>
      </x:c>
    </x:row>
    <x:row r="740">
      <x:c r="A740" s="5" t="str">
        <x:v>Analytical Thinking &amp; Problem Solving</x:v>
      </x:c>
      <x:c r="B740" s="5" t="str">
        <x:v>Understanding what code is doing just by reading it can require extra effort.</x:v>
      </x:c>
      <x:c r="C740" t="n">
        <x:v>2</x:v>
      </x:c>
      <x:c r="D740" t="n">
        <x:v>1</x:v>
      </x:c>
    </x:row>
    <x:row r="741">
      <x:c r="A741" s="5" t="str">
        <x:v>Analytical Thinking &amp; Problem Solving</x:v>
      </x:c>
      <x:c r="B741" s="5" t="str">
        <x:v>Building and maintaining a clear mental model of how a system works can be challenging.</x:v>
      </x:c>
      <x:c r="C741" t="n">
        <x:v>2</x:v>
      </x:c>
      <x:c r="D741" t="n">
        <x:v>1</x:v>
      </x:c>
    </x:row>
    <x:row r="742">
      <x:c r="A742" s="5" t="str">
        <x:v>Analytical Thinking &amp; Problem Solving</x:v>
      </x:c>
      <x:c r="B742" s="5" t="str">
        <x:v>Working through problems step by step can sometimes be difficult.</x:v>
      </x:c>
      <x:c r="C742" t="n">
        <x:v>1</x:v>
      </x:c>
      <x:c r="D742" t="n">
        <x:v>0</x:v>
      </x:c>
    </x:row>
    <x:row r="743">
      <x:c r="A743" s="5" t="str">
        <x:v>Writing &amp; Spelling Difficulties</x:v>
      </x:c>
      <x:c r="B743" s="5" t="str">
        <x:v>Explaining ideas clearly when writing comments, documentation, or messages can be difficult.</x:v>
      </x:c>
      <x:c r="C743" t="n">
        <x:v>4</x:v>
      </x:c>
      <x:c r="D743" t="n">
        <x:v>3</x:v>
      </x:c>
    </x:row>
    <x:row r="744">
      <x:c r="A744" s="5" t="str">
        <x:v>Writing &amp; Spelling Difficulties</x:v>
      </x:c>
      <x:c r="B744" s="5" t="str">
        <x:v>Putting thoughts into clear written explanations can require extra time.</x:v>
      </x:c>
      <x:c r="C744" t="n">
        <x:v>4</x:v>
      </x:c>
      <x:c r="D744" t="n">
        <x:v>4</x:v>
      </x:c>
    </x:row>
    <x:row r="745">
      <x:c r="A745" s="5" t="str">
        <x:v>Writing &amp; Spelling Difficulties</x:v>
      </x:c>
      <x:c r="B745" s="5" t="str">
        <x:v>Misspellings in code can lead to inconsistent variable or function names.</x:v>
      </x:c>
      <x:c r="C745" t="n">
        <x:v>4</x:v>
      </x:c>
      <x:c r="D745" t="n">
        <x:v>4</x:v>
      </x:c>
    </x:row>
    <x:row r="746">
      <x:c r="A746" s="5" t="str">
        <x:v>Writing &amp; Spelling Difficulties</x:v>
      </x:c>
      <x:c r="B746" s="5" t="str">
        <x:v>Writing with correct spelling often takes longer than expected.</x:v>
      </x:c>
      <x:c r="C746" t="n">
        <x:v>4</x:v>
      </x:c>
      <x:c r="D746" t="n">
        <x:v>4</x:v>
      </x:c>
    </x:row>
    <x:row r="747">
      <x:c r="A747" s="5" t="str">
        <x:v>Writing &amp; Spelling Difficulties</x:v>
      </x:c>
      <x:c r="B747" s="5" t="str">
        <x:v>Writing technical documentation clearly and accurately can be challenging.</x:v>
      </x:c>
      <x:c r="C747" t="n">
        <x:v>2</x:v>
      </x:c>
      <x:c r="D747" t="n">
        <x:v>3</x:v>
      </x:c>
    </x:row>
    <x:row r="748">
      <x:c r="A748" s="5" t="str">
        <x:v>Writing &amp; Spelling Difficulties</x:v>
      </x:c>
      <x:c r="B748" s="5" t="str">
        <x:v>Formatting written content so that it is easy to read can require extra effort.</x:v>
      </x:c>
      <x:c r="C748" t="n">
        <x:v>2</x:v>
      </x:c>
      <x:c r="D748" t="n">
        <x:v>1</x:v>
      </x:c>
    </x:row>
    <x:row r="749">
      <x:c r="A749" s="5" t="str">
        <x:v>Writing &amp; Spelling Difficulties</x:v>
      </x:c>
      <x:c r="B749" s="5" t="str">
        <x:v>It can be difficult to notice and correct spelling mistakes in what I write.</x:v>
      </x:c>
      <x:c r="C749" t="n">
        <x:v>3</x:v>
      </x:c>
      <x:c r="D749" t="n">
        <x:v>3</x:v>
      </x:c>
    </x:row>
    <x:row r="750">
      <x:c r="A750" s="5" t="str">
        <x:v>Writing &amp; Spelling Difficulties</x:v>
      </x:c>
      <x:c r="B750" s="5" t="str">
        <x:v>Writing emails, chat messages, or issue descriptions can take extra effort or feel confusing.</x:v>
      </x:c>
      <x:c r="C750" t="n">
        <x:v>4</x:v>
      </x:c>
      <x:c r="D750" t="n">
        <x:v>4</x:v>
      </x:c>
    </x:row>
    <x:row r="751">
      <x:c r="A751" s="5" t="str">
        <x:v>Writing &amp; Spelling Difficulties</x:v>
      </x:c>
      <x:c r="B751" s="5" t="str">
        <x:v>Spelling difficulties can affect how variables, methods, or configuration names are written.</x:v>
      </x:c>
      <x:c r="C751" t="n">
        <x:v>4</x:v>
      </x:c>
      <x:c r="D751" t="n">
        <x:v>4</x:v>
      </x:c>
    </x:row>
    <x:row r="752">
      <x:c r="A752" s="5" t="str">
        <x:v>Writing &amp; Spelling Difficulties</x:v>
      </x:c>
      <x:c r="B752" s="5" t="str">
        <x:v>Concerns about spelling mistakes can sometimes create stress or self-doubt when writing.</x:v>
      </x:c>
      <x:c r="C752" t="n">
        <x:v>1</x:v>
      </x:c>
      <x:c r="D752" t="n">
        <x:v>0</x:v>
      </x:c>
    </x:row>
    <x:row r="753">
      <x:c r="A753" s="5" t="str">
        <x:v>Writing &amp; Spelling Difficulties</x:v>
      </x:c>
      <x:c r="B753" s="5" t="str">
        <x:v>Organizing written notes or explanations so they are easy for others to follow can be challenging.</x:v>
      </x:c>
      <x:c r="C753" t="n">
        <x:v>3</x:v>
      </x:c>
      <x:c r="D753" t="n">
        <x:v>3</x:v>
      </x:c>
    </x:row>
    <x:row r="754">
      <x:c r="A754" s="5" t="str">
        <x:v>Planning, Organization, and Time Management</x:v>
      </x:c>
      <x:c r="B754" s="5" t="str">
        <x:v>Breaking down a problem and planning the steps before starting a task can be challenging.</x:v>
      </x:c>
      <x:c r="C754" t="n">
        <x:v>3</x:v>
      </x:c>
      <x:c r="D754" t="n">
        <x:v>2</x:v>
      </x:c>
    </x:row>
    <x:row r="755">
      <x:c r="A755" s="5" t="str">
        <x:v>Planning, Organization, and Time Management</x:v>
      </x:c>
      <x:c r="B755" s="5" t="str">
        <x:v>Organizing tasks and priorities during development work can require extra effort.</x:v>
      </x:c>
      <x:c r="C755" t="n">
        <x:v>4</x:v>
      </x:c>
      <x:c r="D755" t="n">
        <x:v>3</x:v>
      </x:c>
    </x:row>
    <x:row r="756">
      <x:c r="A756" s="5" t="str">
        <x:v>Planning, Organization, and Time Management</x:v>
      </x:c>
      <x:c r="B756" s="5" t="str">
        <x:v>Managing several tasks at the same time can be difficult.</x:v>
      </x:c>
      <x:c r="C756" t="n">
        <x:v>4</x:v>
      </x:c>
      <x:c r="D756" t="n">
        <x:v>3</x:v>
      </x:c>
    </x:row>
    <x:row r="757">
      <x:c r="A757" s="5" t="str">
        <x:v>Planning, Organization, and Time Management</x:v>
      </x:c>
      <x:c r="B757" s="5" t="str">
        <x:v>Extra time is often needed to think through or visualize a solution before beginning to code.</x:v>
      </x:c>
      <x:c r="C757" t="n">
        <x:v>1</x:v>
      </x:c>
      <x:c r="D757" t="n">
        <x:v>0</x:v>
      </x:c>
    </x:row>
    <x:row r="758">
      <x:c r="A758" s="5" t="str">
        <x:v>Communication &amp; Expression</x:v>
      </x:c>
      <x:c r="B758" s="5" t="str">
        <x:v>Explaining ideas in a way that others easily understand can take extra effort.</x:v>
      </x:c>
      <x:c r="C758" t="n">
        <x:v>3</x:v>
      </x:c>
      <x:c r="D758" t="n">
        <x:v>3</x:v>
      </x:c>
    </x:row>
    <x:row r="759">
      <x:c r="A759" s="5" t="str">
        <x:v>Communication &amp; Expression</x:v>
      </x:c>
      <x:c r="B759" s="5" t="str">
        <x:v>Taking notes during discussions can be difficult when information is shared quickly.</x:v>
      </x:c>
      <x:c r="C759" t="n">
        <x:v>4</x:v>
      </x:c>
      <x:c r="D759" t="n">
        <x:v>4</x:v>
      </x:c>
    </x:row>
    <x:row r="760">
      <x:c r="A760" s="5" t="str">
        <x:v>Communication &amp; Expression</x:v>
      </x:c>
      <x:c r="B760" s="5" t="str">
        <x:v>Finding the right words to explain technical ideas can sometimes be difficult.</x:v>
      </x:c>
      <x:c r="C760" t="n">
        <x:v>4</x:v>
      </x:c>
      <x:c r="D760" t="n">
        <x:v>4</x:v>
      </x:c>
    </x:row>
    <x:row r="761">
      <x:c r="A761" s="5" t="str">
        <x:v>Communication &amp; Expression</x:v>
      </x:c>
      <x:c r="B761" s="5" t="str">
        <x:v>Written communication can sometimes be unclear due to formatting or structure issues.</x:v>
      </x:c>
      <x:c r="C761" t="n">
        <x:v>2</x:v>
      </x:c>
      <x:c r="D761" t="n">
        <x:v>1</x:v>
      </x:c>
    </x:row>
    <x:row r="762">
      <x:c r="A762" s="5" t="str">
        <x:v>Communication &amp; Expression</x:v>
      </x:c>
      <x:c r="B762" s="5" t="str">
        <x:v>When under time pressure, it can be harder to express ideas clearly.</x:v>
      </x:c>
      <x:c r="C762" t="n">
        <x:v>2</x:v>
      </x:c>
      <x:c r="D762" t="n">
        <x:v>1</x:v>
      </x:c>
    </x:row>
    <x:row r="763">
      <x:c r="A763" s="5" t="str">
        <x:v>Communication &amp; Expression</x:v>
      </x:c>
      <x:c r="B763" s="5" t="str">
        <x:v>Explaining visual ideas or mental models to others can be challenging.</x:v>
      </x:c>
      <x:c r="C763" t="n">
        <x:v>2</x:v>
      </x:c>
      <x:c r="D763" t="n">
        <x:v>2</x:v>
      </x:c>
    </x:row>
    <x:row r="764">
      <x:c r="A764" s="5" t="str">
        <x:v>Communication &amp; Expression</x:v>
      </x:c>
      <x:c r="B764" s="5" t="str">
        <x:v>Explaining processes or ideas step-by-step can be challenging.</x:v>
      </x:c>
      <x:c r="C764" t="n">
        <x:v>2</x:v>
      </x:c>
      <x:c r="D764" t="n">
        <x:v>1</x:v>
      </x:c>
    </x:row>
    <x:row r="765">
      <x:c r="A765" s="5" t="str">
        <x:v>Communication &amp; Expression</x:v>
      </x:c>
      <x:c r="B765" s="5" t="str">
        <x:v>Organizing thoughts clearly while speaking in conversations can be challenging.</x:v>
      </x:c>
      <x:c r="C765" t="n">
        <x:v>4</x:v>
      </x:c>
      <x:c r="D765" t="n">
        <x:v>4</x:v>
      </x:c>
    </x:row>
    <x:row r="766">
      <x:c r="A766" s="5" t="str">
        <x:v>Communication &amp; Expression</x:v>
      </x:c>
      <x:c r="B766" s="5" t="str">
        <x:v>Understanding detailed or highly technical explanations can require extra effort.</x:v>
      </x:c>
      <x:c r="C766" t="n">
        <x:v>4</x:v>
      </x:c>
      <x:c r="D766" t="n">
        <x:v>3</x:v>
      </x:c>
    </x:row>
    <x:row r="767">
      <x:c r="A767" s="5" t="str">
        <x:v>Attention Difficulties</x:v>
      </x:c>
      <x:c r="B767" s="5" t="str">
        <x:v>When a task requires sustained concentration, focus can become difficult to maintain.</x:v>
      </x:c>
      <x:c r="C767" t="n">
        <x:v>3</x:v>
      </x:c>
      <x:c r="D767" t="n">
        <x:v>1</x:v>
      </x:c>
    </x:row>
    <x:row r="768">
      <x:c r="A768" s="5" t="str">
        <x:v>Attention Difficulties</x:v>
      </x:c>
      <x:c r="B768" s="5" t="str">
        <x:v>Multiple notifications, conversations, or tasks can make it difficult to maintain attention.</x:v>
      </x:c>
      <x:c r="C768" t="n">
        <x:v>3</x:v>
      </x:c>
      <x:c r="D768" t="n">
        <x:v>1</x:v>
      </x:c>
    </x:row>
    <x:row r="769">
      <x:c r="A769" s="5" t="str">
        <x:v>Attention Difficulties</x:v>
      </x:c>
      <x:c r="B769" s="5" t="str">
        <x:v>When too much information appears at once, it becomes harder to stay focused.</x:v>
      </x:c>
      <x:c r="C769" t="n">
        <x:v>3</x:v>
      </x:c>
      <x:c r="D769" t="n">
        <x:v>1</x:v>
      </x:c>
    </x:row>
    <x:row r="770">
      <x:c r="A770" s="5" t="str">
        <x:v>Attention Difficulties</x:v>
      </x:c>
      <x:c r="B770" s="5" t="str">
        <x:v>Small details in code or documentation can sometimes be easy to overlook.</x:v>
      </x:c>
      <x:c r="C770" t="n">
        <x:v>4</x:v>
      </x:c>
      <x:c r="D770" t="n">
        <x:v>1</x:v>
      </x:c>
    </x:row>
    <x:row r="771">
      <x:c r="A771" s="5" t="str">
        <x:v>Attention Difficulties</x:v>
      </x:c>
      <x:c r="B771" s="5" t="str">
        <x:v>Following long tutorials or documentation with many details can be difficult.</x:v>
      </x:c>
      <x:c r="C771" t="n">
        <x:v>3</x:v>
      </x:c>
      <x:c r="D771" t="n">
        <x:v>2</x:v>
      </x:c>
    </x:row>
    <x:row r="772">
      <x:c r="A772" s="5" t="str">
        <x:v>Attention Difficulties</x:v>
      </x:c>
      <x:c r="B772" s="5" t="str">
        <x:v>Maintaining attention during complex technical configurations or setup tasks can be challenging.</x:v>
      </x:c>
      <x:c r="C772" t="n">
        <x:v>2</x:v>
      </x:c>
      <x:c r="D772" t="n">
        <x:v>1</x:v>
      </x:c>
    </x:row>
    <x:row r="773">
      <x:c r="A773" s="5" t="str">
        <x:v>Working Memory Limitations</x:v>
      </x:c>
      <x:c r="B773" s="5" t="str">
        <x:v>Following technical specifications that contain many numbers or details can be challenging.</x:v>
      </x:c>
      <x:c r="C773" t="n">
        <x:v>2</x:v>
      </x:c>
      <x:c r="D773" t="n">
        <x:v>1</x:v>
      </x:c>
    </x:row>
    <x:row r="774">
      <x:c r="A774" s="5" t="str">
        <x:v>Working Memory Limitations</x:v>
      </x:c>
      <x:c r="B774" s="5" t="str">
        <x:v>When too much information needs to be remembered at once, expressing ideas clearly becomes harder.</x:v>
      </x:c>
      <x:c r="C774" t="n">
        <x:v>3</x:v>
      </x:c>
      <x:c r="D774" t="n">
        <x:v>3</x:v>
      </x:c>
    </x:row>
    <x:row r="775">
      <x:c r="A775" s="5" t="str">
        <x:v>Working Memory Limitations</x:v>
      </x:c>
      <x:c r="B775" s="5" t="str">
        <x:v>In long or complex methods, it is easy to lose track of the logic when the code changes.</x:v>
      </x:c>
      <x:c r="C775" t="n">
        <x:v>4</x:v>
      </x:c>
      <x:c r="D775" t="n">
        <x:v>3</x:v>
      </x:c>
    </x:row>
    <x:row r="776">
      <x:c r="A776" s="5" t="str">
        <x:v>Working Memory Limitations</x:v>
      </x:c>
      <x:c r="B776" s="5" t="str">
        <x:v>Remembering several steps in calculations, formulas, or processes can be challenging.</x:v>
      </x:c>
      <x:c r="C776" t="n">
        <x:v>2</x:v>
      </x:c>
      <x:c r="D776" t="n">
        <x:v>1</x:v>
      </x:c>
    </x:row>
    <x:row r="777">
      <x:c r="A777" s="5" t="str">
        <x:v>Working Memory Limitations</x:v>
      </x:c>
      <x:c r="B777" s="5" t="str">
        <x:v>Understanding new material often requires repetition or visual aids.</x:v>
      </x:c>
      <x:c r="C777" t="n">
        <x:v>2</x:v>
      </x:c>
      <x:c r="D777" t="n">
        <x:v>1</x:v>
      </x:c>
    </x:row>
    <x:row r="778">
      <x:c r="A778" s="5" t="str">
        <x:v>Working Memory Limitations</x:v>
      </x:c>
      <x:c r="B778" s="5" t="str">
        <x:v>Keeping track of multiple pieces of logic while debugging can lead to slower progress or mistakes.</x:v>
      </x:c>
      <x:c r="C778" t="n">
        <x:v>1</x:v>
      </x:c>
      <x:c r="D778" t="n">
        <x:v>0</x:v>
      </x:c>
    </x:row>
    <x:row r="779">
      <x:c r="A779" s="5" t="str">
        <x:v>Working Memory Limitations</x:v>
      </x:c>
      <x:c r="B779" s="5" t="str">
        <x:v>After a fast verbal explanation, it can be hard to remember all the details.</x:v>
      </x:c>
      <x:c r="C779" t="n">
        <x:v>4</x:v>
      </x:c>
      <x:c r="D779" t="n">
        <x:v>3</x:v>
      </x:c>
    </x:row>
    <x:row r="780">
      <x:c r="A780" s="5" t="str">
        <x:v>Working Memory Limitations</x:v>
      </x:c>
      <x:c r="B780" s="5" t="str">
        <x:v>Breaking down a large problem into smaller steps before starting a task can be difficult.</x:v>
      </x:c>
      <x:c r="C780" t="n">
        <x:v>2</x:v>
      </x:c>
      <x:c r="D780" t="n">
        <x:v>2</x:v>
      </x:c>
    </x:row>
    <x:row r="781">
      <x:c r="A781" s="5" t="str">
        <x:v>Working Memory Limitations</x:v>
      </x:c>
      <x:c r="B781" s="5" t="str">
        <x:v>When tasks become mentally demanding, it is easy to lose track of what I was doing.</x:v>
      </x:c>
      <x:c r="C781" t="n">
        <x:v>2</x:v>
      </x:c>
      <x:c r="D781" t="n">
        <x:v>1</x:v>
      </x:c>
    </x:row>
    <x:row r="782">
      <x:c r="A782" s="5" t="str">
        <x:v>Working Memory Limitations</x:v>
      </x:c>
      <x:c r="B782" s="5" t="str">
        <x:v>Tasks that require holding a lot of information in mind can slow down progress.</x:v>
      </x:c>
      <x:c r="C782" t="n">
        <x:v>4</x:v>
      </x:c>
      <x:c r="D782" t="n">
        <x:v>2</x:v>
      </x:c>
    </x:row>
    <x:row r="783">
      <x:c r="A783" s="5" t="str">
        <x:v>Working Memory Limitations</x:v>
      </x:c>
      <x:c r="B783" s="5" t="str">
        <x:v>Tracking file paths, directories, or system states across multiple files can be difficult.</x:v>
      </x:c>
      <x:c r="C783" t="n">
        <x:v>4</x:v>
      </x:c>
      <x:c r="D783" t="n">
        <x:v>3</x:v>
      </x:c>
    </x:row>
    <x:row r="784">
      <x:c r="A784" s="5" t="str">
        <x:v>Working Memory Limitations</x:v>
      </x:c>
      <x:c r="B784" s="5" t="str">
        <x:v>Turning a mental idea or design into working code can require extra effort.</x:v>
      </x:c>
      <x:c r="C784" t="n">
        <x:v>1</x:v>
      </x:c>
      <x:c r="D784" t="n">
        <x:v>1</x:v>
      </x:c>
    </x:row>
    <x:row r="785">
      <x:c r="A785" s="5" t="str">
        <x:v>Working Memory Limitations</x:v>
      </x:c>
      <x:c r="B785" s="5" t="str">
        <x:v>Following step-by-step reasoning or multi-stage logic can be difficult.</x:v>
      </x:c>
      <x:c r="C785" t="n">
        <x:v>2</x:v>
      </x:c>
      <x:c r="D785" t="n">
        <x:v>1</x:v>
      </x:c>
    </x:row>
    <x:row r="786">
      <x:c r="A786" s="5" t="str">
        <x:v>Working Memory Limitations</x:v>
      </x:c>
      <x:c r="B786" s="5" t="str">
        <x:v>Learning a new programming language can be harder because there is a lot to remember at once.</x:v>
      </x:c>
      <x:c r="C786" t="n">
        <x:v>2</x:v>
      </x:c>
      <x:c r="D786" t="n">
        <x:v>2</x:v>
      </x:c>
    </x:row>
    <x:row r="787">
      <x:c r="A787" s="5" t="str">
        <x:v>Reading &amp; Decoding Difficulties</x:v>
      </x:c>
      <x:c r="B787" s="5" t="str">
        <x:v>Long or highly technical documentation, such as API documentation, can be difficult to follow.</x:v>
      </x:c>
      <x:c r="C787" t="n">
        <x:v>2</x:v>
      </x:c>
      <x:c r="D787" t="n">
        <x:v>2</x:v>
      </x:c>
    </x:row>
    <x:row r="788">
      <x:c r="A788" s="5" t="str">
        <x:v>Reading &amp; Decoding Difficulties</x:v>
      </x:c>
      <x:c r="B788" s="5" t="str">
        <x:v>Written instructions can be harder to understand than the code itself.</x:v>
      </x:c>
      <x:c r="C788" t="n">
        <x:v>3</x:v>
      </x:c>
      <x:c r="D788" t="n">
        <x:v>3</x:v>
      </x:c>
    </x:row>
    <x:row r="789">
      <x:c r="A789" s="5" t="str">
        <x:v>Reading &amp; Decoding Difficulties</x:v>
      </x:c>
      <x:c r="B789" s="5" t="str">
        <x:v>Written information often takes longer for me to read and understand.</x:v>
      </x:c>
      <x:c r="C789" t="n">
        <x:v>3</x:v>
      </x:c>
      <x:c r="D789" t="n">
        <x:v>2</x:v>
      </x:c>
    </x:row>
    <x:row r="790">
      <x:c r="A790" s="5" t="str">
        <x:v>Reading &amp; Decoding Difficulties</x:v>
      </x:c>
      <x:c r="B790" s="5" t="str">
        <x:v>Long variable names made from multiple concatenated words can be difficult to read.</x:v>
      </x:c>
      <x:c r="C790" t="n">
        <x:v>2</x:v>
      </x:c>
      <x:c r="D790" t="n">
        <x:v>0</x:v>
      </x:c>
    </x:row>
    <x:row r="791">
      <x:c r="A791" s="5" t="str">
        <x:v>Reading &amp; Decoding Difficulties</x:v>
      </x:c>
      <x:c r="B791" s="5" t="str">
        <x:v>Unclear or vague instructions can easily lead to mistakes.</x:v>
      </x:c>
      <x:c r="C791" t="n">
        <x:v>3</x:v>
      </x:c>
      <x:c r="D791" t="n">
        <x:v>2</x:v>
      </x:c>
    </x:row>
    <x:row r="792">
      <x:c r="A792" s="5" t="str">
        <x:v>Reading &amp; Decoding Difficulties</x:v>
      </x:c>
      <x:c r="B792" s="5" t="str">
        <x:v>Tasks sometimes take longer because reading and processing information slows me down.</x:v>
      </x:c>
      <x:c r="C792" t="n">
        <x:v>3</x:v>
      </x:c>
      <x:c r="D792" t="n">
        <x:v>2</x:v>
      </x:c>
    </x:row>
    <x:row r="793">
      <x:c r="A793" s="5" t="str">
        <x:v>Reading &amp; Decoding Difficulties</x:v>
      </x:c>
      <x:c r="B793" s="5" t="str">
        <x:v>Reading code line by line can be tiring and easy to lose track of.</x:v>
      </x:c>
      <x:c r="C793" t="n">
        <x:v>0</x:v>
      </x:c>
      <x:c r="D793"/>
    </x:row>
    <x:row r="794">
      <x:c r="A794" s="5" t="str">
        <x:v>Reading &amp; Decoding Difficulties</x:v>
      </x:c>
      <x:c r="B794" s="5" t="str">
        <x:v>Multi-step instructions that involve numbers can be hard to follow.</x:v>
      </x:c>
      <x:c r="C794" t="n">
        <x:v>2</x:v>
      </x:c>
      <x:c r="D794" t="n">
        <x:v>0</x:v>
      </x:c>
    </x:row>
    <x:row r="795">
      <x:c r="A795" s="5" t="str">
        <x:v>Reading &amp; Decoding Difficulties</x:v>
      </x:c>
      <x:c r="B795" s="5" t="str">
        <x:v>Working with unfamiliar or complex code can require extra effort to understand.</x:v>
      </x:c>
      <x:c r="C795" t="n">
        <x:v>0</x:v>
      </x:c>
      <x:c r="D795"/>
    </x:row>
    <x:row r="796">
      <x:c r="A796" s="5" t="str">
        <x:v>Reading &amp; Decoding Difficulties</x:v>
      </x:c>
      <x:c r="B796" s="5" t="str">
        <x:v>Interface text is sometimes misread because of dyslexia.</x:v>
      </x:c>
      <x:c r="C796" t="n">
        <x:v>0</x:v>
      </x:c>
      <x:c r="D796"/>
    </x:row>
    <x:row r="797">
      <x:c r="A797" s="5" t="str">
        <x:v>Reading &amp; Decoding Difficulties</x:v>
      </x:c>
      <x:c r="B797" s="5" t="str">
        <x:v>Large amounts of structured information can be difficult to process quickly.</x:v>
      </x:c>
      <x:c r="C797" t="n">
        <x:v>2</x:v>
      </x:c>
      <x:c r="D797" t="n">
        <x:v>2</x:v>
      </x:c>
    </x:row>
    <x:row r="798">
      <x:c r="A798" s="5" t="str">
        <x:v>Reading &amp; Decoding Difficulties</x:v>
      </x:c>
      <x:c r="B798" s="5" t="str">
        <x:v>Keeping up with spoken explanations, especially when numbers are mentioned, can be difficult.</x:v>
      </x:c>
      <x:c r="C798" t="n">
        <x:v>2</x:v>
      </x:c>
      <x:c r="D798" t="n">
        <x:v>2</x:v>
      </x:c>
    </x:row>
    <x:row r="799">
      <x:c r="A799" s="5" t="str">
        <x:v>Reading &amp; Decoding Difficulties</x:v>
      </x:c>
      <x:c r="B799" s="5" t="str">
        <x:v>Symbols that look similar or long lines of text can be difficult for me to distinguish.</x:v>
      </x:c>
      <x:c r="C799" t="n">
        <x:v>2</x:v>
      </x:c>
      <x:c r="D799"/>
    </x:row>
    <x:row r="800">
      <x:c r="A800" s="5" t="str">
        <x:v>Reading &amp; Decoding Difficulties</x:v>
      </x:c>
      <x:c r="B800" s="5" t="str">
        <x:v>When reading unfamiliar text, it can be difficult to recognise the correct spelling of words.</x:v>
      </x:c>
      <x:c r="C800" t="n">
        <x:v>3</x:v>
      </x:c>
      <x:c r="D800" t="n">
        <x:v>3</x:v>
      </x:c>
    </x:row>
    <x:row r="801">
      <x:c r="A801" s="5" t="str">
        <x:v>Reading &amp; Decoding Difficulties</x:v>
      </x:c>
      <x:c r="B801" s="5" t="str">
        <x:v>Reading complex explanations sometimes leads to confusion or misunderstanding.</x:v>
      </x:c>
      <x:c r="C801" t="n">
        <x:v>2</x:v>
      </x:c>
      <x:c r="D801" t="n">
        <x:v>1</x:v>
      </x:c>
    </x:row>
    <x:row r="802">
      <x:c r="A802" s="5" t="str">
        <x:v>Reading &amp; Decoding Difficulties</x:v>
      </x:c>
      <x:c r="B802" s="5" t="str">
        <x:v>Writing documentation to communicate ideas clearly can be challenging.</x:v>
      </x:c>
      <x:c r="C802" t="n">
        <x:v>2</x:v>
      </x:c>
      <x:c r="D802" t="n">
        <x:v>1</x:v>
      </x:c>
    </x:row>
    <x:row r="803">
      <x:c r="A803" s="5" t="str">
        <x:v>Working Memory Limitations</x:v>
      </x:c>
      <x:c r="B803" s="5" t="str">
        <x:v>Breaking down a large problem into smaller steps before starting a task can be difficult.</x:v>
      </x:c>
      <x:c r="C803" t="n">
        <x:v>2</x:v>
      </x:c>
      <x:c r="D803" t="n">
        <x:v>1</x:v>
      </x:c>
    </x:row>
    <x:row r="804">
      <x:c r="A804" s="5" t="str">
        <x:v>Working Memory Limitations</x:v>
      </x:c>
      <x:c r="B804" s="5" t="str">
        <x:v>When tasks become mentally demanding, it is easy to lose track of what I was doing.</x:v>
      </x:c>
      <x:c r="C804" t="n">
        <x:v>2</x:v>
      </x:c>
      <x:c r="D804" t="n">
        <x:v>1</x:v>
      </x:c>
    </x:row>
    <x:row r="805">
      <x:c r="A805" s="5" t="str">
        <x:v>Working Memory Limitations</x:v>
      </x:c>
      <x:c r="B805" s="5" t="str">
        <x:v>It is easy to forget information that was just read or seen while working on a task.</x:v>
      </x:c>
      <x:c r="C805" t="n">
        <x:v>2</x:v>
      </x:c>
      <x:c r="D805" t="n">
        <x:v>1</x:v>
      </x:c>
    </x:row>
    <x:row r="806">
      <x:c r="A806" s="5" t="str">
        <x:v>Working Memory Limitations</x:v>
      </x:c>
      <x:c r="B806" s="5" t="str">
        <x:v>Starting a task can feel difficult when there is too much information to process at once.</x:v>
      </x:c>
      <x:c r="C806" t="n">
        <x:v>2</x:v>
      </x:c>
      <x:c r="D806" t="n">
        <x:v>1</x:v>
      </x:c>
    </x:row>
    <x:row r="807">
      <x:c r="A807" s="5" t="str">
        <x:v>Working Memory Limitations</x:v>
      </x:c>
      <x:c r="B807" s="5" t="str">
        <x:v>When too much information needs to be remembered at once, expressing ideas clearly becomes harder.</x:v>
      </x:c>
      <x:c r="C807" t="n">
        <x:v>2</x:v>
      </x:c>
      <x:c r="D807" t="n">
        <x:v>1</x:v>
      </x:c>
    </x:row>
    <x:row r="808">
      <x:c r="A808" s="5" t="str">
        <x:v>Working Memory Limitations</x:v>
      </x:c>
      <x:c r="B808" s="5" t="str">
        <x:v>Understanding new material often requires repetition or visual aids.</x:v>
      </x:c>
      <x:c r="C808" t="n">
        <x:v>3</x:v>
      </x:c>
      <x:c r="D808" t="n">
        <x:v>2</x:v>
      </x:c>
    </x:row>
    <x:row r="809">
      <x:c r="A809" s="5" t="str">
        <x:v>Working Memory Limitations</x:v>
      </x:c>
      <x:c r="B809" s="5" t="str">
        <x:v>Tracking file paths, directories, or system states across multiple files can be difficult.</x:v>
      </x:c>
      <x:c r="C809" t="n">
        <x:v>2</x:v>
      </x:c>
      <x:c r="D809" t="n">
        <x:v>3</x:v>
      </x:c>
    </x:row>
    <x:row r="810">
      <x:c r="A810" s="5" t="str">
        <x:v>Working Memory Limitations</x:v>
      </x:c>
      <x:c r="B810" s="5" t="str">
        <x:v>Following technical specifications that contain many numbers or details can be challenging.</x:v>
      </x:c>
      <x:c r="C810" t="n">
        <x:v>2</x:v>
      </x:c>
      <x:c r="D810" t="n">
        <x:v>1</x:v>
      </x:c>
    </x:row>
    <x:row r="811">
      <x:c r="A811" s="5" t="str">
        <x:v>Working Memory Limitations</x:v>
      </x:c>
      <x:c r="B811" s="5" t="str">
        <x:v>After a fast verbal explanation, it can be hard to remember all the details.</x:v>
      </x:c>
      <x:c r="C811" t="n">
        <x:v>3</x:v>
      </x:c>
      <x:c r="D811" t="n">
        <x:v>3</x:v>
      </x:c>
    </x:row>
    <x:row r="812">
      <x:c r="A812" s="5" t="str">
        <x:v>Working Memory Limitations</x:v>
      </x:c>
      <x:c r="B812" s="5" t="str">
        <x:v>Tasks that require holding a lot of information in mind can slow down progress.</x:v>
      </x:c>
      <x:c r="C812" t="n">
        <x:v>3</x:v>
      </x:c>
      <x:c r="D812" t="n">
        <x:v>2</x:v>
      </x:c>
    </x:row>
    <x:row r="813">
      <x:c r="A813" s="5" t="str">
        <x:v>Working Memory Limitations</x:v>
      </x:c>
      <x:c r="B813" s="5" t="str">
        <x:v>Remembering several steps in calculations, formulas, or processes can be challenging.</x:v>
      </x:c>
      <x:c r="C813" t="n">
        <x:v>2</x:v>
      </x:c>
      <x:c r="D813" t="n">
        <x:v>1</x:v>
      </x:c>
    </x:row>
    <x:row r="814">
      <x:c r="A814" s="5" t="str">
        <x:v>Analytical Thinking &amp; Problem Solving</x:v>
      </x:c>
      <x:c r="B814" s="5" t="str">
        <x:v>Tasks that require very precise logical thinking and careful tracking of steps can be challenging.</x:v>
      </x:c>
      <x:c r="C814" t="n">
        <x:v>2</x:v>
      </x:c>
      <x:c r="D814" t="n">
        <x:v>1</x:v>
      </x:c>
    </x:row>
    <x:row r="815">
      <x:c r="A815" s="5" t="str">
        <x:v>Analytical Thinking &amp; Problem Solving</x:v>
      </x:c>
      <x:c r="B815" s="5" t="str">
        <x:v>Building and maintaining a clear mental model of how a system works can be challenging.</x:v>
      </x:c>
      <x:c r="C815" t="n">
        <x:v>2</x:v>
      </x:c>
      <x:c r="D815" t="n">
        <x:v>1</x:v>
      </x:c>
    </x:row>
    <x:row r="816">
      <x:c r="A816" s="5" t="str">
        <x:v>Analytical Thinking &amp; Problem Solving</x:v>
      </x:c>
      <x:c r="B816" s="5" t="str">
        <x:v>Programming tutorials or learning materials can be hard to follow unless they are simplified.</x:v>
      </x:c>
      <x:c r="C816" t="n">
        <x:v>2</x:v>
      </x:c>
      <x:c r="D816" t="n">
        <x:v>0</x:v>
      </x:c>
    </x:row>
    <x:row r="817">
      <x:c r="A817" s="5" t="str">
        <x:v>Analytical Thinking &amp; Problem Solving</x:v>
      </x:c>
      <x:c r="B817" s="5" t="str">
        <x:v>Understanding how complex systems or architectures work can take extra time.</x:v>
      </x:c>
      <x:c r="C817" t="n">
        <x:v>2</x:v>
      </x:c>
      <x:c r="D817" t="n">
        <x:v>1</x:v>
      </x:c>
    </x:row>
    <x:row r="818">
      <x:c r="A818" s="5" t="str">
        <x:v>Analytical Thinking &amp; Problem Solving</x:v>
      </x:c>
      <x:c r="B818" s="5" t="str">
        <x:v>Understanding what code is doing just by reading it can require extra effort.</x:v>
      </x:c>
      <x:c r="C818" t="n">
        <x:v>2</x:v>
      </x:c>
      <x:c r="D818"/>
    </x:row>
    <x:row r="819">
      <x:c r="A819" s="5" t="str">
        <x:v>Attention Difficulties</x:v>
      </x:c>
      <x:c r="B819" s="5" t="str">
        <x:v>Following long tutorials or documentation with many details can be difficult.</x:v>
      </x:c>
      <x:c r="C819" t="n">
        <x:v>2</x:v>
      </x:c>
      <x:c r="D819" t="n">
        <x:v>1</x:v>
      </x:c>
    </x:row>
    <x:row r="820">
      <x:c r="A820" s="5" t="str">
        <x:v>Attention Difficulties</x:v>
      </x:c>
      <x:c r="B820" s="5" t="str">
        <x:v>When a task requires sustained concentration, focus can become difficult to maintain.</x:v>
      </x:c>
      <x:c r="C820" t="n">
        <x:v>2</x:v>
      </x:c>
      <x:c r="D820" t="n">
        <x:v>1</x:v>
      </x:c>
    </x:row>
    <x:row r="821">
      <x:c r="A821" s="5" t="str">
        <x:v>Attention Difficulties</x:v>
      </x:c>
      <x:c r="B821" s="5" t="str">
        <x:v>When too much information appears at once, it becomes harder to stay focused.</x:v>
      </x:c>
      <x:c r="C821" t="n">
        <x:v>3</x:v>
      </x:c>
      <x:c r="D821" t="n">
        <x:v>4</x:v>
      </x:c>
    </x:row>
    <x:row r="822">
      <x:c r="A822" s="5" t="str">
        <x:v>Attention Difficulties</x:v>
      </x:c>
      <x:c r="B822" s="5" t="str">
        <x:v>Maintaining attention during complex technical configurations or setup tasks can be challenging.</x:v>
      </x:c>
      <x:c r="C822" t="n">
        <x:v>2</x:v>
      </x:c>
      <x:c r="D822" t="n">
        <x:v>0</x:v>
      </x:c>
    </x:row>
    <x:row r="823">
      <x:c r="A823" s="5" t="str">
        <x:v>Attention Difficulties</x:v>
      </x:c>
      <x:c r="B823" s="5" t="str">
        <x:v>Multiple notifications, conversations, or tasks can make it difficult to maintain attention.</x:v>
      </x:c>
      <x:c r="C823" t="n">
        <x:v>3</x:v>
      </x:c>
      <x:c r="D823" t="n">
        <x:v>2</x:v>
      </x:c>
    </x:row>
    <x:row r="824">
      <x:c r="A824" s="5" t="str">
        <x:v>Writing &amp; Spelling Difficulties</x:v>
      </x:c>
      <x:c r="B824" s="5" t="str">
        <x:v>Putting thoughts into clear written explanations can require extra time.</x:v>
      </x:c>
      <x:c r="C824" t="n">
        <x:v>3</x:v>
      </x:c>
      <x:c r="D824" t="n">
        <x:v>2</x:v>
      </x:c>
    </x:row>
    <x:row r="825">
      <x:c r="A825" s="5" t="str">
        <x:v>Writing &amp; Spelling Difficulties</x:v>
      </x:c>
      <x:c r="B825" s="5" t="str">
        <x:v>Organizing written notes or explanations so they are easy for others to follow can be challenging.</x:v>
      </x:c>
      <x:c r="C825" t="n">
        <x:v>3</x:v>
      </x:c>
      <x:c r="D825" t="n">
        <x:v>3</x:v>
      </x:c>
    </x:row>
    <x:row r="826">
      <x:c r="A826" s="5" t="str">
        <x:v>Writing &amp; Spelling Difficulties</x:v>
      </x:c>
      <x:c r="B826" s="5" t="str">
        <x:v>Writing with correct spelling often takes longer than expected.</x:v>
      </x:c>
      <x:c r="C826" t="n">
        <x:v>2</x:v>
      </x:c>
      <x:c r="D826" t="n">
        <x:v>1</x:v>
      </x:c>
    </x:row>
    <x:row r="827">
      <x:c r="A827" s="5" t="str">
        <x:v>Writing &amp; Spelling Difficulties</x:v>
      </x:c>
      <x:c r="B827" s="5" t="str">
        <x:v>It can be difficult to notice and correct spelling mistakes in what I write.</x:v>
      </x:c>
      <x:c r="C827" t="n">
        <x:v>4</x:v>
      </x:c>
      <x:c r="D827" t="n">
        <x:v>3</x:v>
      </x:c>
    </x:row>
    <x:row r="828">
      <x:c r="A828" s="5" t="str">
        <x:v>Writing &amp; Spelling Difficulties</x:v>
      </x:c>
      <x:c r="B828" s="5" t="str">
        <x:v>Writing emails, chat messages, or issue descriptions can take extra effort or feel confusing.</x:v>
      </x:c>
      <x:c r="C828" t="n">
        <x:v>2</x:v>
      </x:c>
      <x:c r="D828" t="n">
        <x:v>2</x:v>
      </x:c>
    </x:row>
    <x:row r="829">
      <x:c r="A829" s="5" t="str">
        <x:v>Writing &amp; Spelling Difficulties</x:v>
      </x:c>
      <x:c r="B829" s="5" t="str">
        <x:v>Formatting written content so that it is easy to read can require extra effort.</x:v>
      </x:c>
      <x:c r="C829" t="n">
        <x:v>4</x:v>
      </x:c>
      <x:c r="D829" t="n">
        <x:v>3</x:v>
      </x:c>
    </x:row>
    <x:row r="830">
      <x:c r="A830" s="5" t="str">
        <x:v>Writing &amp; Spelling Difficulties</x:v>
      </x:c>
      <x:c r="B830" s="5" t="str">
        <x:v>Writing technical documentation clearly and accurately can be challenging.</x:v>
      </x:c>
      <x:c r="C830" t="n">
        <x:v>2</x:v>
      </x:c>
      <x:c r="D830" t="n">
        <x:v>3</x:v>
      </x:c>
    </x:row>
    <x:row r="831">
      <x:c r="A831" s="5" t="str">
        <x:v>Writing &amp; Spelling Difficulties</x:v>
      </x:c>
      <x:c r="B831" s="5" t="str">
        <x:v>Concerns about spelling mistakes can sometimes create stress or self-doubt when writing.</x:v>
      </x:c>
      <x:c r="C831" t="n">
        <x:v>2</x:v>
      </x:c>
      <x:c r="D831" t="n">
        <x:v>1</x:v>
      </x:c>
    </x:row>
    <x:row r="832">
      <x:c r="A832" s="5" t="str">
        <x:v>Writing &amp; Spelling Difficulties</x:v>
      </x:c>
      <x:c r="B832" s="5" t="str">
        <x:v>Explaining ideas clearly when writing comments, documentation, or messages can be difficult.</x:v>
      </x:c>
      <x:c r="C832" t="n">
        <x:v>4</x:v>
      </x:c>
      <x:c r="D832" t="n">
        <x:v>3</x:v>
      </x:c>
    </x:row>
    <x:row r="833">
      <x:c r="A833" s="5" t="str">
        <x:v>Planning, Organization, and Time Management</x:v>
      </x:c>
      <x:c r="B833" s="5" t="str">
        <x:v>Breaking down a problem and planning the steps before starting a task can be challenging.</x:v>
      </x:c>
      <x:c r="C833" t="n">
        <x:v>2</x:v>
      </x:c>
      <x:c r="D833" t="n">
        <x:v>2</x:v>
      </x:c>
    </x:row>
    <x:row r="834">
      <x:c r="A834" s="5" t="str">
        <x:v>Planning, Organization, and Time Management</x:v>
      </x:c>
      <x:c r="B834" s="5" t="str">
        <x:v>Managing several tasks at the same time can be difficult.</x:v>
      </x:c>
      <x:c r="C834" t="n">
        <x:v>3</x:v>
      </x:c>
      <x:c r="D834" t="n">
        <x:v>2</x:v>
      </x:c>
    </x:row>
    <x:row r="835">
      <x:c r="A835" s="5" t="str">
        <x:v>Communication &amp; Expression</x:v>
      </x:c>
      <x:c r="B835" s="5" t="str">
        <x:v>Taking notes during discussions can be difficult when information is shared quickly.</x:v>
      </x:c>
      <x:c r="C835" t="n">
        <x:v>3</x:v>
      </x:c>
      <x:c r="D835" t="n">
        <x:v>3</x:v>
      </x:c>
    </x:row>
    <x:row r="836">
      <x:c r="A836" s="5" t="str">
        <x:v>Communication &amp; Expression</x:v>
      </x:c>
      <x:c r="B836" s="5" t="str">
        <x:v>Organizing thoughts clearly while speaking in conversations can be challenging.</x:v>
      </x:c>
      <x:c r="C836" t="n">
        <x:v>2</x:v>
      </x:c>
      <x:c r="D836" t="n">
        <x:v>2</x:v>
      </x:c>
    </x:row>
    <x:row r="837">
      <x:c r="A837" s="5" t="str">
        <x:v>Communication &amp; Expression</x:v>
      </x:c>
      <x:c r="B837" s="5" t="str">
        <x:v>Explaining processes or ideas step-by-step can be challenging.</x:v>
      </x:c>
      <x:c r="C837" t="n">
        <x:v>2</x:v>
      </x:c>
      <x:c r="D837" t="n">
        <x:v>2</x:v>
      </x:c>
    </x:row>
    <x:row r="838">
      <x:c r="A838" s="5" t="str">
        <x:v>Communication &amp; Expression</x:v>
      </x:c>
      <x:c r="B838" s="5" t="str">
        <x:v>Understanding detailed or highly technical explanations can require extra effort.</x:v>
      </x:c>
      <x:c r="C838" t="n">
        <x:v>2</x:v>
      </x:c>
      <x:c r="D838" t="n">
        <x:v>2</x:v>
      </x:c>
    </x:row>
    <x:row r="839">
      <x:c r="A839" s="5" t="str">
        <x:v>Communication &amp; Expression</x:v>
      </x:c>
      <x:c r="B839" s="5" t="str">
        <x:v>Finding the right words to explain technical ideas can sometimes be difficult.</x:v>
      </x:c>
      <x:c r="C839" t="n">
        <x:v>2</x:v>
      </x:c>
      <x:c r="D839"/>
    </x:row>
    <x:row r="840">
      <x:c r="A840" s="5" t="str">
        <x:v>Communication &amp; Expression</x:v>
      </x:c>
      <x:c r="B840" s="5" t="str">
        <x:v>Explaining visual ideas or mental models to others can be challenging.</x:v>
      </x:c>
      <x:c r="C840" t="n">
        <x:v>2</x:v>
      </x:c>
      <x:c r="D840" t="n">
        <x:v>0</x:v>
      </x:c>
    </x:row>
    <x:row r="841">
      <x:c r="A841" s="5" t="str">
        <x:v>Communication &amp; Expression</x:v>
      </x:c>
      <x:c r="B841" s="5" t="str">
        <x:v>Explaining ideas in a way that others easily understand can take extra effort.</x:v>
      </x:c>
      <x:c r="C841" t="n">
        <x:v>4</x:v>
      </x:c>
      <x:c r="D841" t="n">
        <x:v>3</x:v>
      </x:c>
    </x:row>
    <x:row r="842">
      <x:c r="A842" s="5" t="str">
        <x:v>Communication &amp; Expression</x:v>
      </x:c>
      <x:c r="B842" s="5" t="str">
        <x:v>Written communication can sometimes be unclear due to formatting or structure issues.</x:v>
      </x:c>
      <x:c r="C842" t="n">
        <x:v>2</x:v>
      </x:c>
      <x:c r="D842" t="n">
        <x:v>2</x:v>
      </x:c>
    </x:row>
    <x:row r="843">
      <x:c r="A843" s="5" t="str">
        <x:v>Communication &amp; Expression</x:v>
      </x:c>
      <x:c r="B843" s="5" t="str">
        <x:v>When under time pressure, it can be harder to express ideas clearly.</x:v>
      </x:c>
      <x:c r="C843" t="n">
        <x:v>2</x:v>
      </x:c>
      <x:c r="D843" t="n">
        <x:v>2</x:v>
      </x:c>
    </x:row>
    <x:row r="844">
      <x:c r="A844" s="5" t="str">
        <x:v>Attention Difficulties</x:v>
      </x:c>
      <x:c r="B844" s="5" t="str">
        <x:v>When a task requires sustained concentration, focus can become difficult to maintain.</x:v>
      </x:c>
      <x:c r="C844" t="n">
        <x:v>3</x:v>
      </x:c>
      <x:c r="D844" t="n">
        <x:v>2</x:v>
      </x:c>
    </x:row>
    <x:row r="845">
      <x:c r="A845" s="5" t="str">
        <x:v>Attention Difficulties</x:v>
      </x:c>
      <x:c r="B845" s="5" t="str">
        <x:v>Loss of focus can make it easier to miss errors in code or instructions.</x:v>
      </x:c>
      <x:c r="C845" t="n">
        <x:v>3</x:v>
      </x:c>
      <x:c r="D845" t="n">
        <x:v>3</x:v>
      </x:c>
    </x:row>
    <x:row r="846">
      <x:c r="A846" s="5" t="str">
        <x:v>Attention Difficulties</x:v>
      </x:c>
      <x:c r="B846" s="5" t="str">
        <x:v>Maintaining attention during complex technical configurations or setup tasks can be challenging.</x:v>
      </x:c>
      <x:c r="C846" t="n">
        <x:v>4</x:v>
      </x:c>
      <x:c r="D846" t="n">
        <x:v>4</x:v>
      </x:c>
    </x:row>
    <x:row r="847">
      <x:c r="A847" s="5" t="str">
        <x:v>Attention Difficulties</x:v>
      </x:c>
      <x:c r="B847" s="5" t="str">
        <x:v>Small details in code or documentation can sometimes be easy to overlook.</x:v>
      </x:c>
      <x:c r="C847" t="n">
        <x:v>3</x:v>
      </x:c>
      <x:c r="D847" t="n">
        <x:v>3</x:v>
      </x:c>
    </x:row>
    <x:row r="848">
      <x:c r="A848" s="5" t="str">
        <x:v>Attention Difficulties</x:v>
      </x:c>
      <x:c r="B848" s="5" t="str">
        <x:v>When too much information appears at once, it becomes harder to stay focused.</x:v>
      </x:c>
      <x:c r="C848" t="n">
        <x:v>4</x:v>
      </x:c>
      <x:c r="D848" t="n">
        <x:v>2</x:v>
      </x:c>
    </x:row>
    <x:row r="849">
      <x:c r="A849" s="5" t="str">
        <x:v>Attention Difficulties</x:v>
      </x:c>
      <x:c r="B849" s="5" t="str">
        <x:v>Following long tutorials or documentation with many details can be difficult.</x:v>
      </x:c>
      <x:c r="C849" t="n">
        <x:v>4</x:v>
      </x:c>
      <x:c r="D849" t="n">
        <x:v>2</x:v>
      </x:c>
    </x:row>
    <x:row r="850">
      <x:c r="A850" s="5" t="str">
        <x:v>Attention Difficulties</x:v>
      </x:c>
      <x:c r="B850" s="5" t="str">
        <x:v>Multiple notifications, conversations, or tasks can make it difficult to maintain attention.</x:v>
      </x:c>
      <x:c r="C850" t="n">
        <x:v>4</x:v>
      </x:c>
      <x:c r="D850" t="n">
        <x:v>2</x:v>
      </x:c>
    </x:row>
    <x:row r="851">
      <x:c r="A851" s="5" t="str">
        <x:v>Reading &amp; Decoding Difficulties</x:v>
      </x:c>
      <x:c r="B851" s="5" t="str">
        <x:v>The amount of reading and writing required in software engineering can feel overwhelming.</x:v>
      </x:c>
      <x:c r="C851" t="n">
        <x:v>4</x:v>
      </x:c>
      <x:c r="D851" t="n">
        <x:v>3</x:v>
      </x:c>
    </x:row>
    <x:row r="852">
      <x:c r="A852" s="5" t="str">
        <x:v>Reading &amp; Decoding Difficulties</x:v>
      </x:c>
      <x:c r="B852" s="5" t="str">
        <x:v>Written instructions can be harder to understand than the code itself.</x:v>
      </x:c>
      <x:c r="C852" t="n">
        <x:v>3</x:v>
      </x:c>
      <x:c r="D852" t="n">
        <x:v>2</x:v>
      </x:c>
    </x:row>
    <x:row r="853">
      <x:c r="A853" s="5" t="str">
        <x:v>Reading &amp; Decoding Difficulties</x:v>
      </x:c>
      <x:c r="B853" s="5" t="str">
        <x:v>Timed coding challenges can be difficult because the instructions must be read quickly.</x:v>
      </x:c>
      <x:c r="C853" t="n">
        <x:v>4</x:v>
      </x:c>
      <x:c r="D853" t="n">
        <x:v>4</x:v>
      </x:c>
    </x:row>
    <x:row r="854">
      <x:c r="A854" s="5" t="str">
        <x:v>Reading &amp; Decoding Difficulties</x:v>
      </x:c>
      <x:c r="B854" s="5" t="str">
        <x:v>Multi-step instructions that involve numbers can be hard to follow.</x:v>
      </x:c>
      <x:c r="C854" t="n">
        <x:v>4</x:v>
      </x:c>
      <x:c r="D854" t="n">
        <x:v>3</x:v>
      </x:c>
    </x:row>
    <x:row r="855">
      <x:c r="A855" s="5" t="str">
        <x:v>Reading &amp; Decoding Difficulties</x:v>
      </x:c>
      <x:c r="B855" s="5" t="str">
        <x:v>Tasks sometimes take longer because reading and processing information slows me down.</x:v>
      </x:c>
      <x:c r="C855" t="n">
        <x:v>4</x:v>
      </x:c>
      <x:c r="D855" t="n">
        <x:v>2</x:v>
      </x:c>
    </x:row>
    <x:row r="856">
      <x:c r="A856" s="5" t="str">
        <x:v>Reading &amp; Decoding Difficulties</x:v>
      </x:c>
      <x:c r="B856" s="5" t="str">
        <x:v>When reading unfamiliar text, it can be difficult to recognise the correct spelling of words.</x:v>
      </x:c>
      <x:c r="C856" t="n">
        <x:v>3</x:v>
      </x:c>
      <x:c r="D856" t="n">
        <x:v>1</x:v>
      </x:c>
    </x:row>
    <x:row r="857">
      <x:c r="A857" s="5" t="str">
        <x:v>Reading &amp; Decoding Difficulties</x:v>
      </x:c>
      <x:c r="B857" s="5" t="str">
        <x:v>Written information often takes longer for me to read and understand.</x:v>
      </x:c>
      <x:c r="C857" t="n">
        <x:v>3</x:v>
      </x:c>
      <x:c r="D857" t="n">
        <x:v>3</x:v>
      </x:c>
    </x:row>
    <x:row r="858">
      <x:c r="A858" s="5" t="str">
        <x:v>Reading &amp; Decoding Difficulties</x:v>
      </x:c>
      <x:c r="B858" s="5" t="str">
        <x:v>Reading code line by line can be tiring and easy to lose track of.</x:v>
      </x:c>
      <x:c r="C858" t="n">
        <x:v>4</x:v>
      </x:c>
      <x:c r="D858" t="n">
        <x:v>4</x:v>
      </x:c>
    </x:row>
    <x:row r="859">
      <x:c r="A859" s="5" t="str">
        <x:v>Reading &amp; Decoding Difficulties</x:v>
      </x:c>
      <x:c r="B859" s="5" t="str">
        <x:v>Long variable names made from multiple concatenated words can be difficult to read.</x:v>
      </x:c>
      <x:c r="C859" t="n">
        <x:v>2</x:v>
      </x:c>
      <x:c r="D859" t="n">
        <x:v>1</x:v>
      </x:c>
    </x:row>
    <x:row r="860">
      <x:c r="A860" s="5" t="str">
        <x:v>Reading &amp; Decoding Difficulties</x:v>
      </x:c>
      <x:c r="B860" s="5" t="str">
        <x:v>Unclear or vague instructions can easily lead to mistakes.</x:v>
      </x:c>
      <x:c r="C860" t="n">
        <x:v>4</x:v>
      </x:c>
      <x:c r="D860" t="n">
        <x:v>2</x:v>
      </x:c>
    </x:row>
    <x:row r="861">
      <x:c r="A861" s="5" t="str">
        <x:v>Reading &amp; Decoding Difficulties</x:v>
      </x:c>
      <x:c r="B861" s="5" t="str">
        <x:v>Learning new programming languages can be harder because of the reading load involved.</x:v>
      </x:c>
      <x:c r="C861" t="n">
        <x:v>4</x:v>
      </x:c>
      <x:c r="D861" t="n">
        <x:v>4</x:v>
      </x:c>
    </x:row>
    <x:row r="862">
      <x:c r="A862" s="5" t="str">
        <x:v>Reading &amp; Decoding Difficulties</x:v>
      </x:c>
      <x:c r="B862" s="5" t="str">
        <x:v>Large amounts of structured information can be difficult to process quickly.</x:v>
      </x:c>
      <x:c r="C862" t="n">
        <x:v>2</x:v>
      </x:c>
      <x:c r="D862" t="n">
        <x:v>1</x:v>
      </x:c>
    </x:row>
    <x:row r="863">
      <x:c r="A863" s="5" t="str">
        <x:v>Reading &amp; Decoding Difficulties</x:v>
      </x:c>
      <x:c r="B863" s="5" t="str">
        <x:v>Keeping up with spoken explanations, especially when numbers are mentioned, can be difficult.</x:v>
      </x:c>
      <x:c r="C863" t="n">
        <x:v>2</x:v>
      </x:c>
      <x:c r="D863" t="n">
        <x:v>1</x:v>
      </x:c>
    </x:row>
    <x:row r="864">
      <x:c r="A864" s="5" t="str">
        <x:v>Reading &amp; Decoding Difficulties</x:v>
      </x:c>
      <x:c r="B864" s="5" t="str">
        <x:v>Similar characters in SQL or programming languages can sometimes be misread.</x:v>
      </x:c>
      <x:c r="C864" t="n">
        <x:v>3</x:v>
      </x:c>
      <x:c r="D864" t="n">
        <x:v>1</x:v>
      </x:c>
    </x:row>
    <x:row r="865">
      <x:c r="A865" s="5" t="str">
        <x:v>Reading &amp; Decoding Difficulties</x:v>
      </x:c>
      <x:c r="B865" s="5" t="str">
        <x:v>Interface text is sometimes misread because of dyslexia.</x:v>
      </x:c>
      <x:c r="C865" t="n">
        <x:v>3</x:v>
      </x:c>
      <x:c r="D865" t="n">
        <x:v>3</x:v>
      </x:c>
    </x:row>
    <x:row r="866">
      <x:c r="A866" s="5" t="str">
        <x:v>Reading &amp; Decoding Difficulties</x:v>
      </x:c>
      <x:c r="B866" s="5" t="str">
        <x:v>Small syntax errors are sometimes easy for me to miss when reading code.</x:v>
      </x:c>
      <x:c r="C866" t="n">
        <x:v>3</x:v>
      </x:c>
      <x:c r="D866" t="n">
        <x:v>3</x:v>
      </x:c>
    </x:row>
    <x:row r="867">
      <x:c r="A867" s="5" t="str">
        <x:v>Reading &amp; Decoding Difficulties</x:v>
      </x:c>
      <x:c r="B867" s="5" t="str">
        <x:v>Making changes to data structures can be challenging when the code is hard to read.</x:v>
      </x:c>
      <x:c r="C867" t="n">
        <x:v>2</x:v>
      </x:c>
      <x:c r="D867" t="n">
        <x:v>1</x:v>
      </x:c>
    </x:row>
    <x:row r="868">
      <x:c r="A868" s="5" t="str">
        <x:v>Reading &amp; Decoding Difficulties</x:v>
      </x:c>
      <x:c r="B868" s="5" t="str">
        <x:v>Long or highly technical documentation, such as API documentation, can be difficult to follow.</x:v>
      </x:c>
      <x:c r="C868" t="n">
        <x:v>4</x:v>
      </x:c>
      <x:c r="D868" t="n">
        <x:v>2</x:v>
      </x:c>
    </x:row>
    <x:row r="869">
      <x:c r="A869" s="5" t="str">
        <x:v>Reading &amp; Decoding Difficulties</x:v>
      </x:c>
      <x:c r="B869" s="5" t="str">
        <x:v>Working with unfamiliar or complex code can require extra effort to understand.</x:v>
      </x:c>
      <x:c r="C869" t="n">
        <x:v>3</x:v>
      </x:c>
      <x:c r="D869" t="n">
        <x:v>4</x:v>
      </x:c>
    </x:row>
    <x:row r="870">
      <x:c r="A870" s="5" t="str">
        <x:v>Working Memory Limitations</x:v>
      </x:c>
      <x:c r="B870" s="5" t="str">
        <x:v>It is easy to forget information that was just read or seen while working on a task.</x:v>
      </x:c>
      <x:c r="C870" t="n">
        <x:v>3</x:v>
      </x:c>
      <x:c r="D870" t="n">
        <x:v>3</x:v>
      </x:c>
    </x:row>
    <x:row r="871">
      <x:c r="A871" s="5" t="str">
        <x:v>Working Memory Limitations</x:v>
      </x:c>
      <x:c r="B871" s="5" t="str">
        <x:v>Turning a mental idea or design into working code can require extra effort.</x:v>
      </x:c>
      <x:c r="C871" t="n">
        <x:v>3</x:v>
      </x:c>
      <x:c r="D871" t="n">
        <x:v>4</x:v>
      </x:c>
    </x:row>
    <x:row r="872">
      <x:c r="A872" s="5" t="str">
        <x:v>Working Memory Limitations</x:v>
      </x:c>
      <x:c r="B872" s="5" t="str">
        <x:v>Keeping track of multiple pieces of logic while debugging can lead to slower progress or mistakes.</x:v>
      </x:c>
      <x:c r="C872" t="n">
        <x:v>3</x:v>
      </x:c>
      <x:c r="D872" t="n">
        <x:v>1</x:v>
      </x:c>
    </x:row>
    <x:row r="873">
      <x:c r="A873" s="5" t="str">
        <x:v>Working Memory Limitations</x:v>
      </x:c>
      <x:c r="B873" s="5" t="str">
        <x:v>Learning a new programming language can be harder because there is a lot to remember at once.</x:v>
      </x:c>
      <x:c r="C873" t="n">
        <x:v>4</x:v>
      </x:c>
      <x:c r="D873" t="n">
        <x:v>4</x:v>
      </x:c>
    </x:row>
    <x:row r="874">
      <x:c r="A874" s="5" t="str">
        <x:v>Working Memory Limitations</x:v>
      </x:c>
      <x:c r="B874" s="5" t="str">
        <x:v>Understanding new material often requires repetition or visual aids.</x:v>
      </x:c>
      <x:c r="C874" t="n">
        <x:v>3</x:v>
      </x:c>
      <x:c r="D874" t="n">
        <x:v>3</x:v>
      </x:c>
    </x:row>
    <x:row r="875">
      <x:c r="A875" s="5" t="str">
        <x:v>Working Memory Limitations</x:v>
      </x:c>
      <x:c r="B875" s="5" t="str">
        <x:v>Following step-by-step reasoning or multi-stage logic can be difficult.</x:v>
      </x:c>
      <x:c r="C875" t="n">
        <x:v>3</x:v>
      </x:c>
      <x:c r="D875" t="n">
        <x:v>2</x:v>
      </x:c>
    </x:row>
    <x:row r="876">
      <x:c r="A876" s="5" t="str">
        <x:v>Working Memory Limitations</x:v>
      </x:c>
      <x:c r="B876" s="5" t="str">
        <x:v>Tracking file paths, directories, or system states across multiple files can be difficult.</x:v>
      </x:c>
      <x:c r="C876" t="n">
        <x:v>3</x:v>
      </x:c>
      <x:c r="D876" t="n">
        <x:v>2</x:v>
      </x:c>
    </x:row>
    <x:row r="877">
      <x:c r="A877" s="5" t="str">
        <x:v>Working Memory Limitations</x:v>
      </x:c>
      <x:c r="B877" s="5" t="str">
        <x:v>Starting a task can feel difficult when there is too much information to process at once.</x:v>
      </x:c>
      <x:c r="C877" t="n">
        <x:v>3</x:v>
      </x:c>
      <x:c r="D877" t="n">
        <x:v>3</x:v>
      </x:c>
    </x:row>
    <x:row r="878">
      <x:c r="A878" s="5" t="str">
        <x:v>Working Memory Limitations</x:v>
      </x:c>
      <x:c r="B878" s="5" t="str">
        <x:v>Tasks that require holding a lot of information in mind can slow down progress.</x:v>
      </x:c>
      <x:c r="C878" t="n">
        <x:v>1</x:v>
      </x:c>
      <x:c r="D878" t="n">
        <x:v>1</x:v>
      </x:c>
    </x:row>
    <x:row r="879">
      <x:c r="A879" s="5" t="str">
        <x:v>Working Memory Limitations</x:v>
      </x:c>
      <x:c r="B879" s="5" t="str">
        <x:v>Remembering programming syntax, commands, or concepts can require extra effort.</x:v>
      </x:c>
      <x:c r="C879" t="n">
        <x:v>3</x:v>
      </x:c>
      <x:c r="D879" t="n">
        <x:v>4</x:v>
      </x:c>
    </x:row>
    <x:row r="880">
      <x:c r="A880" s="5" t="str">
        <x:v>Working Memory Limitations</x:v>
      </x:c>
      <x:c r="B880" s="5" t="str">
        <x:v>Remembering several steps in calculations, formulas, or processes can be challenging.</x:v>
      </x:c>
      <x:c r="C880" t="n">
        <x:v>1</x:v>
      </x:c>
      <x:c r="D880" t="n">
        <x:v>0</x:v>
      </x:c>
    </x:row>
    <x:row r="881">
      <x:c r="A881" s="5" t="str">
        <x:v>Working Memory Limitations</x:v>
      </x:c>
      <x:c r="B881" s="5" t="str">
        <x:v>When tasks become mentally demanding, it is easy to lose track of what I was doing.</x:v>
      </x:c>
      <x:c r="C881" t="n">
        <x:v>3</x:v>
      </x:c>
      <x:c r="D881" t="n">
        <x:v>3</x:v>
      </x:c>
    </x:row>
    <x:row r="882">
      <x:c r="A882" s="5" t="str">
        <x:v>Working Memory Limitations</x:v>
      </x:c>
      <x:c r="B882" s="5" t="str">
        <x:v>In long or complex methods, it is easy to lose track of the logic when the code changes.</x:v>
      </x:c>
      <x:c r="C882" t="n">
        <x:v>1</x:v>
      </x:c>
      <x:c r="D882" t="n">
        <x:v>0</x:v>
      </x:c>
    </x:row>
    <x:row r="883">
      <x:c r="A883" s="5" t="str">
        <x:v>Working Memory Limitations</x:v>
      </x:c>
      <x:c r="B883" s="5" t="str">
        <x:v>Breaking down a large problem into smaller steps before starting a task can be difficult.</x:v>
      </x:c>
      <x:c r="C883" t="n">
        <x:v>2</x:v>
      </x:c>
      <x:c r="D883" t="n">
        <x:v>1</x:v>
      </x:c>
    </x:row>
    <x:row r="884">
      <x:c r="A884" s="5" t="str">
        <x:v>Working Memory Limitations</x:v>
      </x:c>
      <x:c r="B884" s="5" t="str">
        <x:v>When too much information needs to be remembered at once, expressing ideas clearly becomes harder.</x:v>
      </x:c>
      <x:c r="C884" t="n">
        <x:v>1</x:v>
      </x:c>
      <x:c r="D884" t="n">
        <x:v>0</x:v>
      </x:c>
    </x:row>
    <x:row r="885">
      <x:c r="A885" s="5" t="str">
        <x:v>Working Memory Limitations</x:v>
      </x:c>
      <x:c r="B885" s="5" t="str">
        <x:v>Following technical specifications that contain many numbers or details can be challenging.</x:v>
      </x:c>
      <x:c r="C885" t="n">
        <x:v>3</x:v>
      </x:c>
      <x:c r="D885" t="n">
        <x:v>3</x:v>
      </x:c>
    </x:row>
    <x:row r="886">
      <x:c r="A886" s="5" t="str">
        <x:v>Working Memory Limitations</x:v>
      </x:c>
      <x:c r="B886" s="5" t="str">
        <x:v>After a fast verbal explanation, it can be hard to remember all the details.</x:v>
      </x:c>
      <x:c r="C886" t="n">
        <x:v>3</x:v>
      </x:c>
      <x:c r="D886" t="n">
        <x:v>3</x:v>
      </x:c>
    </x:row>
    <x:row r="887">
      <x:c r="A887" s="5" t="str">
        <x:v>Attention Difficulties</x:v>
      </x:c>
      <x:c r="B887" s="5" t="str">
        <x:v>Multiple notifications, conversations, or tasks can make it difficult to maintain attention.</x:v>
      </x:c>
      <x:c r="C887" t="n">
        <x:v>1</x:v>
      </x:c>
      <x:c r="D887" t="n">
        <x:v>3</x:v>
      </x:c>
    </x:row>
    <x:row r="888">
      <x:c r="A888" s="5" t="str">
        <x:v>Attention Difficulties</x:v>
      </x:c>
      <x:c r="B888" s="5" t="str">
        <x:v>Following long tutorials or documentation with many details can be difficult.</x:v>
      </x:c>
      <x:c r="C888" t="n">
        <x:v>3</x:v>
      </x:c>
      <x:c r="D888" t="n">
        <x:v>1</x:v>
      </x:c>
    </x:row>
    <x:row r="889">
      <x:c r="A889" s="5" t="str">
        <x:v>Attention Difficulties</x:v>
      </x:c>
      <x:c r="B889" s="5" t="str">
        <x:v>When too much information appears at once, it becomes harder to stay focused.</x:v>
      </x:c>
      <x:c r="C889" t="n">
        <x:v>2</x:v>
      </x:c>
      <x:c r="D889" t="n">
        <x:v>2</x:v>
      </x:c>
    </x:row>
    <x:row r="890">
      <x:c r="A890" s="5" t="str">
        <x:v>Attention Difficulties</x:v>
      </x:c>
      <x:c r="B890" s="5" t="str">
        <x:v>Loss of focus can make it easier to miss errors in code or instructions.</x:v>
      </x:c>
      <x:c r="C890" t="n">
        <x:v>2</x:v>
      </x:c>
      <x:c r="D890" t="n">
        <x:v>2</x:v>
      </x:c>
    </x:row>
    <x:row r="891">
      <x:c r="A891" s="5" t="str">
        <x:v>Attention Difficulties</x:v>
      </x:c>
      <x:c r="B891" s="5" t="str">
        <x:v>Small details in code or documentation can sometimes be easy to overlook.</x:v>
      </x:c>
      <x:c r="C891" t="n">
        <x:v>0</x:v>
      </x:c>
      <x:c r="D891"/>
    </x:row>
    <x:row r="892">
      <x:c r="A892" s="5" t="str">
        <x:v>Attention Difficulties</x:v>
      </x:c>
      <x:c r="B892" s="5" t="str">
        <x:v>Maintaining attention during complex technical configurations or setup tasks can be challenging.</x:v>
      </x:c>
      <x:c r="C892" t="n">
        <x:v>0</x:v>
      </x:c>
      <x:c r="D892"/>
    </x:row>
    <x:row r="893">
      <x:c r="A893" s="5" t="str">
        <x:v>Attention Difficulties</x:v>
      </x:c>
      <x:c r="B893" s="5" t="str">
        <x:v>When a task requires sustained concentration, focus can become difficult to maintain.</x:v>
      </x:c>
      <x:c r="C893" t="n">
        <x:v>0</x:v>
      </x:c>
      <x:c r="D893"/>
    </x:row>
  </x:sheetData>
  <x:pageMargins left="0.7" right="0.7" top="0.75" bottom="0.75" header="0.3" footer="0.3"/>
</x:worksheet>
</file>